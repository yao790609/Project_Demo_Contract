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Sheet1!$A$1:$AC$408</definedName>
  </definedNames>
  <calcPr calcId="144525"/>
</workbook>
</file>

<file path=xl/calcChain.xml><?xml version="1.0" encoding="utf-8"?>
<calcChain xmlns="http://schemas.openxmlformats.org/spreadsheetml/2006/main">
  <c r="C407" i="1" l="1"/>
  <c r="C402" i="1"/>
  <c r="C400" i="1"/>
  <c r="C390" i="1"/>
  <c r="C389" i="1"/>
  <c r="C387" i="1"/>
  <c r="C384" i="1"/>
  <c r="C381" i="1"/>
  <c r="C377" i="1"/>
  <c r="C369" i="1"/>
  <c r="C364" i="1"/>
  <c r="C357" i="1"/>
  <c r="C348" i="1"/>
  <c r="C343" i="1"/>
  <c r="C341" i="1"/>
  <c r="C333" i="1"/>
  <c r="C330" i="1"/>
  <c r="C328" i="1"/>
  <c r="C325" i="1"/>
  <c r="C322" i="1"/>
  <c r="C320" i="1"/>
  <c r="C316" i="1"/>
  <c r="C312" i="1"/>
  <c r="C307" i="1"/>
  <c r="C287" i="1"/>
  <c r="C276" i="1"/>
  <c r="C275" i="1"/>
  <c r="C272" i="1"/>
  <c r="C269" i="1"/>
  <c r="C266" i="1"/>
  <c r="C265" i="1"/>
  <c r="C262" i="1"/>
  <c r="C261" i="1"/>
  <c r="C251" i="1"/>
  <c r="C250" i="1"/>
  <c r="C248" i="1"/>
  <c r="C236" i="1"/>
  <c r="C234" i="1"/>
  <c r="C230" i="1"/>
  <c r="C228" i="1"/>
  <c r="C218" i="1"/>
  <c r="C212" i="1"/>
  <c r="C210" i="1"/>
  <c r="C199" i="1"/>
  <c r="C191" i="1"/>
  <c r="C184" i="1"/>
  <c r="C183" i="1"/>
  <c r="C180" i="1"/>
  <c r="C177" i="1"/>
  <c r="C175" i="1"/>
  <c r="C169" i="1"/>
  <c r="C165" i="1"/>
  <c r="C151" i="1"/>
  <c r="C141" i="1"/>
  <c r="C126" i="1"/>
  <c r="C101" i="1"/>
  <c r="C89" i="1"/>
  <c r="C83" i="1"/>
  <c r="C75" i="1"/>
  <c r="C67" i="1"/>
  <c r="C47" i="1"/>
  <c r="C38" i="1"/>
  <c r="C28" i="1"/>
  <c r="C20" i="1"/>
  <c r="C15" i="1"/>
</calcChain>
</file>

<file path=xl/sharedStrings.xml><?xml version="1.0" encoding="utf-8"?>
<sst xmlns="http://schemas.openxmlformats.org/spreadsheetml/2006/main" count="1560" uniqueCount="376">
  <si>
    <t>股票名稱</t>
  </si>
  <si>
    <t>獲利</t>
  </si>
  <si>
    <t>持有天數</t>
  </si>
  <si>
    <t>買價</t>
  </si>
  <si>
    <t>買手續費</t>
  </si>
  <si>
    <t>賣價</t>
  </si>
  <si>
    <t>賣手續費</t>
  </si>
  <si>
    <t>交易稅</t>
  </si>
  <si>
    <t>日KD</t>
  </si>
  <si>
    <t>周無過前高</t>
  </si>
  <si>
    <t>日無過前高</t>
  </si>
  <si>
    <t>周非多頭</t>
  </si>
  <si>
    <t>量少</t>
  </si>
  <si>
    <t>漲幅30%</t>
  </si>
  <si>
    <t>漲幅20%</t>
  </si>
  <si>
    <t>漲幅10%</t>
  </si>
  <si>
    <t>起漲超過10根</t>
  </si>
  <si>
    <t>日60均下彎</t>
  </si>
  <si>
    <t>周20均下彎</t>
  </si>
  <si>
    <t>周10均下彎</t>
  </si>
  <si>
    <t>日20均葛蘭</t>
  </si>
  <si>
    <t>日60均葛蘭</t>
  </si>
  <si>
    <t>空方反彈</t>
  </si>
  <si>
    <t>無葛蘭必第一段</t>
  </si>
  <si>
    <t>未突破下降趨勢</t>
  </si>
  <si>
    <t>型態不好</t>
  </si>
  <si>
    <t>交易</t>
  </si>
  <si>
    <t>同時投入資金</t>
  </si>
  <si>
    <t>太極</t>
  </si>
  <si>
    <t>福懋科</t>
  </si>
  <si>
    <t>連宇</t>
  </si>
  <si>
    <t>台勝科</t>
  </si>
  <si>
    <t>同開</t>
  </si>
  <si>
    <t>吉祥全</t>
  </si>
  <si>
    <t>關貿</t>
  </si>
  <si>
    <t>瑞祺電通</t>
  </si>
  <si>
    <t>中電</t>
  </si>
  <si>
    <t>神達</t>
  </si>
  <si>
    <t>茂矽</t>
  </si>
  <si>
    <t>亞諾法</t>
  </si>
  <si>
    <t>圓展</t>
  </si>
  <si>
    <t>泰山</t>
  </si>
  <si>
    <t>敦陽科</t>
  </si>
  <si>
    <t>十銓</t>
  </si>
  <si>
    <t>榮成</t>
  </si>
  <si>
    <t>毛寶</t>
  </si>
  <si>
    <t>金像電</t>
  </si>
  <si>
    <t>龍邦</t>
  </si>
  <si>
    <t>宇瞻</t>
  </si>
  <si>
    <t>聯陽</t>
  </si>
  <si>
    <t>松翰</t>
  </si>
  <si>
    <t>銘鈺</t>
  </si>
  <si>
    <t>台耀</t>
  </si>
  <si>
    <t>世紀鋼</t>
  </si>
  <si>
    <t>凌華</t>
  </si>
  <si>
    <t>富邦媒</t>
  </si>
  <si>
    <t>華擎</t>
  </si>
  <si>
    <t>科嘉-KY</t>
  </si>
  <si>
    <t>櫻花建</t>
  </si>
  <si>
    <t>圓剛</t>
  </si>
  <si>
    <t>太空梭</t>
  </si>
  <si>
    <t>東元</t>
  </si>
  <si>
    <t>弘裕</t>
  </si>
  <si>
    <t>恆大</t>
  </si>
  <si>
    <t>凱羿-KY</t>
  </si>
  <si>
    <t>南電</t>
  </si>
  <si>
    <t>欣興</t>
  </si>
  <si>
    <t>大毅</t>
  </si>
  <si>
    <t>威盛</t>
  </si>
  <si>
    <t>晶技</t>
  </si>
  <si>
    <t>力山</t>
  </si>
  <si>
    <t>士紙</t>
  </si>
  <si>
    <t>矽統</t>
  </si>
  <si>
    <t>南緯</t>
  </si>
  <si>
    <t>佳和</t>
  </si>
  <si>
    <t>南六</t>
  </si>
  <si>
    <t>正道</t>
  </si>
  <si>
    <t>寶齡富錦</t>
  </si>
  <si>
    <t>愛普</t>
  </si>
  <si>
    <t>康那香</t>
  </si>
  <si>
    <t>德淵</t>
  </si>
  <si>
    <t>新麗</t>
  </si>
  <si>
    <t>恩德</t>
  </si>
  <si>
    <t>台通</t>
  </si>
  <si>
    <t>拓凱</t>
  </si>
  <si>
    <t>全宇生技-KY</t>
  </si>
  <si>
    <t>三芳</t>
  </si>
  <si>
    <t>遠東新</t>
  </si>
  <si>
    <t>中化生</t>
  </si>
  <si>
    <t>立德</t>
  </si>
  <si>
    <t>國光生</t>
  </si>
  <si>
    <t>泰鼎-KY</t>
  </si>
  <si>
    <t>臻鼎-KY</t>
  </si>
  <si>
    <t>聚碩</t>
  </si>
  <si>
    <t>台光電</t>
  </si>
  <si>
    <t>燦坤</t>
  </si>
  <si>
    <t>悅城</t>
  </si>
  <si>
    <t>陞泰</t>
  </si>
  <si>
    <t>揚博</t>
  </si>
  <si>
    <t>雃博</t>
  </si>
  <si>
    <t>微星</t>
  </si>
  <si>
    <t>日成-KY</t>
  </si>
  <si>
    <t>祥碩</t>
  </si>
  <si>
    <t>六福</t>
  </si>
  <si>
    <t>聯強</t>
  </si>
  <si>
    <t>高林</t>
  </si>
  <si>
    <t>嘉基</t>
  </si>
  <si>
    <t>日馳</t>
  </si>
  <si>
    <t>岱宇</t>
  </si>
  <si>
    <t>虹冠電</t>
  </si>
  <si>
    <t>通嘉</t>
  </si>
  <si>
    <t>聚陽</t>
  </si>
  <si>
    <t>新天地</t>
  </si>
  <si>
    <t>健鼎</t>
  </si>
  <si>
    <t>正峰</t>
  </si>
  <si>
    <t>融程電</t>
  </si>
  <si>
    <t>友達</t>
  </si>
  <si>
    <t>駐龍</t>
  </si>
  <si>
    <t>群創</t>
  </si>
  <si>
    <t>技嘉</t>
  </si>
  <si>
    <t>華碩</t>
  </si>
  <si>
    <t>東陽</t>
  </si>
  <si>
    <t>四維航</t>
  </si>
  <si>
    <t>中鼎</t>
  </si>
  <si>
    <t>三陽工業</t>
  </si>
  <si>
    <t>台玻</t>
  </si>
  <si>
    <t>如興</t>
  </si>
  <si>
    <t>晶碩</t>
  </si>
  <si>
    <t>詮欣</t>
  </si>
  <si>
    <t>南紡</t>
  </si>
  <si>
    <t>永崴投控</t>
  </si>
  <si>
    <t>宏遠</t>
  </si>
  <si>
    <t>利華</t>
  </si>
  <si>
    <t>力鵬</t>
  </si>
  <si>
    <t>盟立</t>
  </si>
  <si>
    <t>世芯-KY</t>
  </si>
  <si>
    <t>友勁</t>
  </si>
  <si>
    <t>谷崧</t>
  </si>
  <si>
    <t>零壹</t>
  </si>
  <si>
    <t>友訊</t>
  </si>
  <si>
    <t>同泰</t>
  </si>
  <si>
    <t>潤泰全</t>
  </si>
  <si>
    <t>亞太電</t>
  </si>
  <si>
    <t>晶心科</t>
  </si>
  <si>
    <t>揚智</t>
  </si>
  <si>
    <t>天仁</t>
  </si>
  <si>
    <t>聯詠</t>
  </si>
  <si>
    <t>創意</t>
  </si>
  <si>
    <t>杏輝</t>
  </si>
  <si>
    <t>鋐寶科技</t>
  </si>
  <si>
    <t>美利達</t>
  </si>
  <si>
    <t>懷特</t>
  </si>
  <si>
    <t>聚鼎</t>
  </si>
  <si>
    <t>巨大</t>
  </si>
  <si>
    <t>榮創</t>
  </si>
  <si>
    <t>美吾華</t>
  </si>
  <si>
    <t>華孚</t>
  </si>
  <si>
    <t>安集</t>
  </si>
  <si>
    <t>元晶</t>
  </si>
  <si>
    <t>虹光</t>
  </si>
  <si>
    <t>大飲</t>
  </si>
  <si>
    <t>宏碁</t>
  </si>
  <si>
    <t>辛耘</t>
  </si>
  <si>
    <t>科風</t>
  </si>
  <si>
    <t>廣達</t>
  </si>
  <si>
    <t>三福化</t>
  </si>
  <si>
    <t>中興電</t>
  </si>
  <si>
    <t>華城</t>
  </si>
  <si>
    <t>旭暉應材</t>
  </si>
  <si>
    <t>首利</t>
  </si>
  <si>
    <t>聯電</t>
  </si>
  <si>
    <t>威健</t>
  </si>
  <si>
    <t>帆宣</t>
  </si>
  <si>
    <t>中和</t>
  </si>
  <si>
    <t>新至陞</t>
  </si>
  <si>
    <t>台達電</t>
  </si>
  <si>
    <t>力麗</t>
  </si>
  <si>
    <t>達能</t>
  </si>
  <si>
    <t>大亞</t>
  </si>
  <si>
    <t>偉訓</t>
  </si>
  <si>
    <t>全漢</t>
  </si>
  <si>
    <t>正達</t>
  </si>
  <si>
    <t>志超</t>
  </si>
  <si>
    <t>精成科</t>
  </si>
  <si>
    <t>精元</t>
  </si>
  <si>
    <t>國碩</t>
  </si>
  <si>
    <t>昇貿</t>
  </si>
  <si>
    <t>大魯閣</t>
  </si>
  <si>
    <t>炎洲</t>
  </si>
  <si>
    <t>達邁</t>
  </si>
  <si>
    <t>長榮</t>
  </si>
  <si>
    <t>志信</t>
  </si>
  <si>
    <t>厚生</t>
  </si>
  <si>
    <t>鄉林</t>
  </si>
  <si>
    <t>國喬</t>
  </si>
  <si>
    <t>江申</t>
  </si>
  <si>
    <t>豐興</t>
  </si>
  <si>
    <t>迅得</t>
  </si>
  <si>
    <t>欣陸</t>
  </si>
  <si>
    <t>吉茂</t>
  </si>
  <si>
    <t>蔚華科</t>
  </si>
  <si>
    <t>喬鼎</t>
  </si>
  <si>
    <t>華紙</t>
  </si>
  <si>
    <t>盛達</t>
  </si>
  <si>
    <t>啟碁</t>
  </si>
  <si>
    <t>一詮</t>
  </si>
  <si>
    <t>東明-KY</t>
  </si>
  <si>
    <t>明基材</t>
  </si>
  <si>
    <t>燁興</t>
  </si>
  <si>
    <t>新鋼</t>
  </si>
  <si>
    <t>台橡</t>
  </si>
  <si>
    <t>合勤控</t>
  </si>
  <si>
    <t>申豐</t>
  </si>
  <si>
    <t>東和鋼鐵</t>
  </si>
  <si>
    <t>麗清</t>
  </si>
  <si>
    <t>誠創</t>
  </si>
  <si>
    <t>燁輝</t>
  </si>
  <si>
    <t>鈺德</t>
  </si>
  <si>
    <t>海光</t>
  </si>
  <si>
    <t>建通</t>
  </si>
  <si>
    <t>千興</t>
  </si>
  <si>
    <t>宏泰</t>
  </si>
  <si>
    <t>中鴻</t>
  </si>
  <si>
    <t>復盛應用</t>
  </si>
  <si>
    <t>台聚</t>
  </si>
  <si>
    <t>成霖</t>
  </si>
  <si>
    <t>東和</t>
  </si>
  <si>
    <t>日勝生</t>
  </si>
  <si>
    <t>聯德</t>
  </si>
  <si>
    <t>倫飛</t>
  </si>
  <si>
    <t>勤美</t>
  </si>
  <si>
    <t>統一實</t>
  </si>
  <si>
    <t>富鼎</t>
  </si>
  <si>
    <t>順德</t>
  </si>
  <si>
    <t>飛宏</t>
  </si>
  <si>
    <t>聚隆</t>
  </si>
  <si>
    <t>中福</t>
  </si>
  <si>
    <t>麗正</t>
  </si>
  <si>
    <t>麗嬰房</t>
  </si>
  <si>
    <t>再生-KY</t>
  </si>
  <si>
    <t>東訊</t>
  </si>
  <si>
    <t>楠梓電</t>
  </si>
  <si>
    <t>台數科</t>
  </si>
  <si>
    <t>遠雄來</t>
  </si>
  <si>
    <t>羅昇</t>
  </si>
  <si>
    <t>錸德</t>
  </si>
  <si>
    <t>精英</t>
  </si>
  <si>
    <t>永大</t>
  </si>
  <si>
    <t>聯合再生</t>
  </si>
  <si>
    <t>東台</t>
  </si>
  <si>
    <t>合機</t>
  </si>
  <si>
    <t>豐藝</t>
  </si>
  <si>
    <t>晶豪科</t>
  </si>
  <si>
    <t>華立</t>
  </si>
  <si>
    <t>增你強</t>
  </si>
  <si>
    <t>南帝</t>
  </si>
  <si>
    <t>宅配通</t>
  </si>
  <si>
    <t>大成鋼</t>
  </si>
  <si>
    <t>建大</t>
  </si>
  <si>
    <t>東森</t>
  </si>
  <si>
    <t>中租-KY</t>
  </si>
  <si>
    <t>麗臺</t>
  </si>
  <si>
    <t>美食-KY</t>
  </si>
  <si>
    <t>正新</t>
  </si>
  <si>
    <t>國際中橡</t>
  </si>
  <si>
    <t>威致</t>
  </si>
  <si>
    <t>寶成</t>
  </si>
  <si>
    <t>志聖</t>
  </si>
  <si>
    <t>春源</t>
  </si>
  <si>
    <t>王品</t>
  </si>
  <si>
    <t>中航</t>
  </si>
  <si>
    <t>怡利電</t>
  </si>
  <si>
    <t>洋華</t>
  </si>
  <si>
    <t>中碳</t>
  </si>
  <si>
    <t>國巨</t>
  </si>
  <si>
    <t>台塑化</t>
  </si>
  <si>
    <t>晶相光</t>
  </si>
  <si>
    <t>運錩</t>
  </si>
  <si>
    <t>益登</t>
  </si>
  <si>
    <t>景碩</t>
  </si>
  <si>
    <t>乙盛-KY</t>
  </si>
  <si>
    <t>永豐餘</t>
  </si>
  <si>
    <t>萬海</t>
  </si>
  <si>
    <t>第一銅</t>
  </si>
  <si>
    <t>怡華</t>
  </si>
  <si>
    <t>錩新</t>
  </si>
  <si>
    <t>天鈺</t>
  </si>
  <si>
    <t>光聖</t>
  </si>
  <si>
    <t>凌通</t>
  </si>
  <si>
    <t>新海</t>
  </si>
  <si>
    <t>長華</t>
  </si>
  <si>
    <t>勝悅-KY</t>
  </si>
  <si>
    <t>台揚</t>
  </si>
  <si>
    <t>華邦電</t>
  </si>
  <si>
    <t>中工</t>
  </si>
  <si>
    <t>瑞智</t>
  </si>
  <si>
    <t>夆典</t>
  </si>
  <si>
    <t>華航</t>
  </si>
  <si>
    <t>吉源-KY</t>
  </si>
  <si>
    <t>中石化</t>
  </si>
  <si>
    <t>三洋電</t>
  </si>
  <si>
    <t>南亞科</t>
  </si>
  <si>
    <t>東聯</t>
  </si>
  <si>
    <t>瑞軒</t>
  </si>
  <si>
    <t>帝寶</t>
  </si>
  <si>
    <t>界霖</t>
  </si>
  <si>
    <t>全新</t>
  </si>
  <si>
    <t>和大</t>
  </si>
  <si>
    <t>偉詮電</t>
  </si>
  <si>
    <t>正崴</t>
  </si>
  <si>
    <t>官田鋼</t>
  </si>
  <si>
    <t>大銀微系統</t>
  </si>
  <si>
    <t>益航</t>
  </si>
  <si>
    <t>三晃</t>
  </si>
  <si>
    <t>佳龍</t>
  </si>
  <si>
    <t>華榮</t>
  </si>
  <si>
    <t>敦泰</t>
  </si>
  <si>
    <t>聚亨</t>
  </si>
  <si>
    <t>陽明</t>
  </si>
  <si>
    <t>資通</t>
  </si>
  <si>
    <t>雷虎</t>
  </si>
  <si>
    <t>中纖</t>
  </si>
  <si>
    <t>英利-KY</t>
  </si>
  <si>
    <t>台肥</t>
  </si>
  <si>
    <t>凱美</t>
  </si>
  <si>
    <t>銘異</t>
  </si>
  <si>
    <t>神腦</t>
  </si>
  <si>
    <t>健和興</t>
  </si>
  <si>
    <t>時碩工業</t>
  </si>
  <si>
    <t>裕隆</t>
  </si>
  <si>
    <t>鴻碩</t>
  </si>
  <si>
    <t>宏致</t>
  </si>
  <si>
    <t>廣宇</t>
  </si>
  <si>
    <t>百一</t>
  </si>
  <si>
    <t>宏全</t>
  </si>
  <si>
    <t>億光</t>
  </si>
  <si>
    <t>21天</t>
  </si>
  <si>
    <t>10天</t>
  </si>
  <si>
    <t>6天</t>
  </si>
  <si>
    <t>11天</t>
  </si>
  <si>
    <t>5天</t>
  </si>
  <si>
    <t>9天</t>
  </si>
  <si>
    <t>14天</t>
  </si>
  <si>
    <t>12天</t>
  </si>
  <si>
    <t>8天</t>
  </si>
  <si>
    <t>4天</t>
  </si>
  <si>
    <t>2天</t>
  </si>
  <si>
    <t>27天</t>
  </si>
  <si>
    <t>34天</t>
  </si>
  <si>
    <t>26天</t>
  </si>
  <si>
    <t>38天</t>
  </si>
  <si>
    <t>45天</t>
  </si>
  <si>
    <t>23天</t>
  </si>
  <si>
    <t>17天</t>
  </si>
  <si>
    <t>18天</t>
  </si>
  <si>
    <t>15天</t>
  </si>
  <si>
    <t>13天</t>
  </si>
  <si>
    <t>30天</t>
  </si>
  <si>
    <t>22天</t>
  </si>
  <si>
    <t>16天</t>
  </si>
  <si>
    <t>7天</t>
  </si>
  <si>
    <t>29天</t>
  </si>
  <si>
    <t>20天</t>
  </si>
  <si>
    <t>24天</t>
  </si>
  <si>
    <t>25天</t>
  </si>
  <si>
    <t>46天</t>
  </si>
  <si>
    <t>3天</t>
  </si>
  <si>
    <t>28天</t>
  </si>
  <si>
    <t>19天</t>
  </si>
  <si>
    <t>39天</t>
  </si>
  <si>
    <t>36天</t>
  </si>
  <si>
    <t>37天</t>
  </si>
  <si>
    <t>31天</t>
  </si>
  <si>
    <t>41天</t>
  </si>
  <si>
    <t>X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</si>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</sst>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8"/>
  <sheetViews>
    <sheetView tabSelected="1" workbookViewId="0">
      <selection activeCell="H10" sqref="H10"/>
    </sheetView>
  </sheetViews>
  <sheetFormatPr defaultRowHeight="15.75" x14ac:dyDescent="0.25"/>
  <cols>
    <col min="4" max="27" width="9.140625" customWidth="1"/>
  </cols>
  <sheetData>
    <row r="1" spans="1:2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>
        <v>0</v>
      </c>
      <c r="B2" t="s">
        <v>28</v>
      </c>
      <c r="C2">
        <v>4353.8900000000003</v>
      </c>
      <c r="D2" t="s">
        <v>336</v>
      </c>
      <c r="E2">
        <v>12750</v>
      </c>
      <c r="F2">
        <v>20</v>
      </c>
      <c r="G2">
        <v>17200</v>
      </c>
      <c r="H2">
        <v>24.51</v>
      </c>
      <c r="I2">
        <v>51.6</v>
      </c>
      <c r="AA2" t="s">
        <v>374</v>
      </c>
      <c r="AB2" t="s">
        <v>374</v>
      </c>
    </row>
    <row r="3" spans="1:29" x14ac:dyDescent="0.25">
      <c r="A3" s="1">
        <v>1</v>
      </c>
      <c r="B3" t="s">
        <v>29</v>
      </c>
      <c r="C3">
        <v>-1297.56</v>
      </c>
      <c r="D3" t="s">
        <v>337</v>
      </c>
      <c r="E3">
        <v>41410</v>
      </c>
      <c r="F3">
        <v>59.009250000000023</v>
      </c>
      <c r="G3">
        <v>40350</v>
      </c>
      <c r="H3">
        <v>57.498750000000001</v>
      </c>
      <c r="I3">
        <v>121.05</v>
      </c>
      <c r="L3" t="s">
        <v>374</v>
      </c>
      <c r="AB3" t="s">
        <v>374</v>
      </c>
    </row>
    <row r="4" spans="1:29" x14ac:dyDescent="0.25">
      <c r="A4" s="1">
        <v>2</v>
      </c>
      <c r="B4" t="s">
        <v>30</v>
      </c>
      <c r="C4">
        <v>-777.35</v>
      </c>
      <c r="D4" t="s">
        <v>338</v>
      </c>
      <c r="E4">
        <v>13150</v>
      </c>
      <c r="F4">
        <v>20</v>
      </c>
      <c r="G4">
        <v>12450</v>
      </c>
      <c r="H4">
        <v>20</v>
      </c>
      <c r="I4">
        <v>37.35</v>
      </c>
      <c r="S4" t="s">
        <v>374</v>
      </c>
      <c r="AB4" t="s">
        <v>374</v>
      </c>
    </row>
    <row r="5" spans="1:29" x14ac:dyDescent="0.25">
      <c r="A5" s="1">
        <v>3</v>
      </c>
      <c r="B5" t="s">
        <v>31</v>
      </c>
      <c r="C5">
        <v>21010.38</v>
      </c>
      <c r="D5" t="s">
        <v>339</v>
      </c>
      <c r="E5">
        <v>120190</v>
      </c>
      <c r="F5">
        <v>171.27074999999999</v>
      </c>
      <c r="G5">
        <v>142000</v>
      </c>
      <c r="H5">
        <v>202.35</v>
      </c>
      <c r="I5">
        <v>426</v>
      </c>
      <c r="M5" t="s">
        <v>374</v>
      </c>
      <c r="AB5" t="s">
        <v>374</v>
      </c>
    </row>
    <row r="6" spans="1:29" x14ac:dyDescent="0.25">
      <c r="A6" s="1">
        <v>4</v>
      </c>
      <c r="B6" t="s">
        <v>32</v>
      </c>
      <c r="C6">
        <v>-2786.97</v>
      </c>
      <c r="D6" t="s">
        <v>340</v>
      </c>
      <c r="E6">
        <v>28482</v>
      </c>
      <c r="F6">
        <v>40.586849999999998</v>
      </c>
      <c r="G6">
        <v>25850</v>
      </c>
      <c r="H6">
        <v>36.83625</v>
      </c>
      <c r="I6">
        <v>77.55</v>
      </c>
      <c r="L6" t="s">
        <v>374</v>
      </c>
      <c r="AB6" t="s">
        <v>374</v>
      </c>
    </row>
    <row r="7" spans="1:29" x14ac:dyDescent="0.25">
      <c r="A7" s="1">
        <v>5</v>
      </c>
      <c r="B7" t="s">
        <v>33</v>
      </c>
      <c r="C7">
        <v>-74.2</v>
      </c>
      <c r="D7" t="s">
        <v>341</v>
      </c>
      <c r="E7">
        <v>10403</v>
      </c>
      <c r="F7">
        <v>20</v>
      </c>
      <c r="G7">
        <v>10400</v>
      </c>
      <c r="H7">
        <v>20</v>
      </c>
      <c r="I7">
        <v>31.2</v>
      </c>
      <c r="L7" t="s">
        <v>374</v>
      </c>
      <c r="AB7" t="s">
        <v>374</v>
      </c>
    </row>
    <row r="8" spans="1:29" x14ac:dyDescent="0.25">
      <c r="A8" s="1">
        <v>6</v>
      </c>
      <c r="B8" t="s">
        <v>34</v>
      </c>
      <c r="C8">
        <v>-3467.39</v>
      </c>
      <c r="D8" t="s">
        <v>340</v>
      </c>
      <c r="E8">
        <v>43278.5</v>
      </c>
      <c r="F8">
        <v>61.671862500000003</v>
      </c>
      <c r="G8">
        <v>40050</v>
      </c>
      <c r="H8">
        <v>57.071249999999999</v>
      </c>
      <c r="I8">
        <v>120.15</v>
      </c>
      <c r="N8" t="s">
        <v>374</v>
      </c>
      <c r="AB8" t="s">
        <v>374</v>
      </c>
    </row>
    <row r="9" spans="1:29" x14ac:dyDescent="0.25">
      <c r="A9" s="1">
        <v>7</v>
      </c>
      <c r="B9" t="s">
        <v>35</v>
      </c>
      <c r="C9">
        <v>-7411.1</v>
      </c>
      <c r="D9" t="s">
        <v>340</v>
      </c>
      <c r="E9">
        <v>123220</v>
      </c>
      <c r="F9">
        <v>175.58850000000001</v>
      </c>
      <c r="G9">
        <v>116500</v>
      </c>
      <c r="H9">
        <v>166.01249999999999</v>
      </c>
      <c r="I9">
        <v>349.5</v>
      </c>
      <c r="L9" t="s">
        <v>374</v>
      </c>
      <c r="AB9" t="s">
        <v>374</v>
      </c>
    </row>
    <row r="10" spans="1:29" x14ac:dyDescent="0.25">
      <c r="A10" s="1">
        <v>8</v>
      </c>
      <c r="B10" t="s">
        <v>36</v>
      </c>
      <c r="C10">
        <v>303.14999999999998</v>
      </c>
      <c r="D10" t="s">
        <v>342</v>
      </c>
      <c r="E10">
        <v>12069.5</v>
      </c>
      <c r="F10">
        <v>20</v>
      </c>
      <c r="G10">
        <v>12450</v>
      </c>
      <c r="H10">
        <v>20</v>
      </c>
      <c r="I10">
        <v>37.35</v>
      </c>
      <c r="L10" t="s">
        <v>374</v>
      </c>
      <c r="AB10" t="s">
        <v>374</v>
      </c>
    </row>
    <row r="11" spans="1:29" x14ac:dyDescent="0.25">
      <c r="A11" s="1">
        <v>9</v>
      </c>
      <c r="B11" t="s">
        <v>37</v>
      </c>
      <c r="C11">
        <v>37.53</v>
      </c>
      <c r="D11" t="s">
        <v>343</v>
      </c>
      <c r="E11">
        <v>32471.5</v>
      </c>
      <c r="F11">
        <v>46.271887499999998</v>
      </c>
      <c r="G11">
        <v>32700</v>
      </c>
      <c r="H11">
        <v>46.597499999999997</v>
      </c>
      <c r="I11">
        <v>98.1</v>
      </c>
      <c r="L11" t="s">
        <v>374</v>
      </c>
      <c r="AB11" t="s">
        <v>374</v>
      </c>
    </row>
    <row r="12" spans="1:29" x14ac:dyDescent="0.25">
      <c r="A12" s="1">
        <v>10</v>
      </c>
      <c r="B12" t="s">
        <v>38</v>
      </c>
      <c r="C12">
        <v>2049.87</v>
      </c>
      <c r="D12" t="s">
        <v>343</v>
      </c>
      <c r="E12">
        <v>24000</v>
      </c>
      <c r="F12">
        <v>34.200000000000003</v>
      </c>
      <c r="G12">
        <v>26200</v>
      </c>
      <c r="H12">
        <v>37.335000000000001</v>
      </c>
      <c r="I12">
        <v>78.600000000000023</v>
      </c>
      <c r="M12" t="s">
        <v>374</v>
      </c>
      <c r="AB12" t="s">
        <v>374</v>
      </c>
    </row>
    <row r="13" spans="1:29" x14ac:dyDescent="0.25">
      <c r="A13" s="1">
        <v>11</v>
      </c>
      <c r="B13" t="s">
        <v>39</v>
      </c>
      <c r="C13">
        <v>-5772.31</v>
      </c>
      <c r="D13" t="s">
        <v>341</v>
      </c>
      <c r="E13">
        <v>42200</v>
      </c>
      <c r="F13">
        <v>60.135000000000012</v>
      </c>
      <c r="G13">
        <v>36650</v>
      </c>
      <c r="H13">
        <v>52.22625</v>
      </c>
      <c r="I13">
        <v>109.95</v>
      </c>
      <c r="N13" t="s">
        <v>374</v>
      </c>
      <c r="AB13" t="s">
        <v>374</v>
      </c>
    </row>
    <row r="14" spans="1:29" x14ac:dyDescent="0.25">
      <c r="A14" s="1">
        <v>12</v>
      </c>
      <c r="B14" t="s">
        <v>40</v>
      </c>
      <c r="C14">
        <v>-260.43</v>
      </c>
      <c r="D14" t="s">
        <v>341</v>
      </c>
      <c r="E14">
        <v>27500</v>
      </c>
      <c r="F14">
        <v>39.1875</v>
      </c>
      <c r="G14">
        <v>27400</v>
      </c>
      <c r="H14">
        <v>39.045000000000002</v>
      </c>
      <c r="I14">
        <v>82.2</v>
      </c>
      <c r="O14" t="s">
        <v>374</v>
      </c>
      <c r="AB14" t="s">
        <v>374</v>
      </c>
    </row>
    <row r="15" spans="1:29" x14ac:dyDescent="0.25">
      <c r="A15" s="1">
        <v>13</v>
      </c>
      <c r="B15" t="s">
        <v>41</v>
      </c>
      <c r="C15">
        <f>G15-E15-F15-H15</f>
        <v>-269.59913749999998</v>
      </c>
      <c r="D15" t="s">
        <v>344</v>
      </c>
      <c r="E15">
        <v>24650</v>
      </c>
      <c r="F15">
        <v>34.757887500000002</v>
      </c>
      <c r="G15">
        <v>24450</v>
      </c>
      <c r="H15">
        <v>34.841250000000002</v>
      </c>
      <c r="I15">
        <v>73.350000000000023</v>
      </c>
      <c r="AB15" t="s">
        <v>375</v>
      </c>
      <c r="AC15">
        <v>24684.7578875</v>
      </c>
    </row>
    <row r="16" spans="1:29" x14ac:dyDescent="0.25">
      <c r="A16" s="1">
        <v>14</v>
      </c>
      <c r="B16" t="s">
        <v>42</v>
      </c>
      <c r="C16">
        <v>-2043.48</v>
      </c>
      <c r="D16" t="s">
        <v>341</v>
      </c>
      <c r="E16">
        <v>60000</v>
      </c>
      <c r="F16">
        <v>85.5</v>
      </c>
      <c r="G16">
        <v>58300</v>
      </c>
      <c r="H16">
        <v>83.077500000000001</v>
      </c>
      <c r="I16">
        <v>174.9</v>
      </c>
      <c r="L16" t="s">
        <v>374</v>
      </c>
      <c r="AB16" t="s">
        <v>374</v>
      </c>
    </row>
    <row r="17" spans="1:29" x14ac:dyDescent="0.25">
      <c r="A17" s="1">
        <v>15</v>
      </c>
      <c r="B17" t="s">
        <v>43</v>
      </c>
      <c r="C17">
        <v>-1475.45</v>
      </c>
      <c r="D17" t="s">
        <v>341</v>
      </c>
      <c r="E17">
        <v>43227.999999999898</v>
      </c>
      <c r="F17">
        <v>61.599899999999991</v>
      </c>
      <c r="G17">
        <v>42000</v>
      </c>
      <c r="H17">
        <v>59.85</v>
      </c>
      <c r="I17">
        <v>126</v>
      </c>
      <c r="L17" t="s">
        <v>374</v>
      </c>
      <c r="AB17" t="s">
        <v>374</v>
      </c>
    </row>
    <row r="18" spans="1:29" x14ac:dyDescent="0.25">
      <c r="A18" s="1">
        <v>16</v>
      </c>
      <c r="B18" t="s">
        <v>44</v>
      </c>
      <c r="C18">
        <v>-2297.9</v>
      </c>
      <c r="D18" t="s">
        <v>338</v>
      </c>
      <c r="E18">
        <v>18400</v>
      </c>
      <c r="F18">
        <v>26.22</v>
      </c>
      <c r="G18">
        <v>16200</v>
      </c>
      <c r="H18">
        <v>23.085000000000001</v>
      </c>
      <c r="I18">
        <v>48.6</v>
      </c>
      <c r="M18" t="s">
        <v>374</v>
      </c>
      <c r="AB18" t="s">
        <v>374</v>
      </c>
    </row>
    <row r="19" spans="1:29" x14ac:dyDescent="0.25">
      <c r="A19" s="1">
        <v>17</v>
      </c>
      <c r="B19" t="s">
        <v>45</v>
      </c>
      <c r="C19">
        <v>-5819.51</v>
      </c>
      <c r="D19" t="s">
        <v>345</v>
      </c>
      <c r="E19">
        <v>33250</v>
      </c>
      <c r="F19">
        <v>47.381250000000001</v>
      </c>
      <c r="G19">
        <v>27600</v>
      </c>
      <c r="H19">
        <v>39.33</v>
      </c>
      <c r="I19">
        <v>82.8</v>
      </c>
      <c r="P19" t="s">
        <v>374</v>
      </c>
      <c r="AB19" t="s">
        <v>374</v>
      </c>
    </row>
    <row r="20" spans="1:29" x14ac:dyDescent="0.25">
      <c r="A20" s="1">
        <v>18</v>
      </c>
      <c r="B20" t="s">
        <v>46</v>
      </c>
      <c r="C20">
        <f>G20-E20-F20-H20</f>
        <v>-69.54921250000001</v>
      </c>
      <c r="D20" t="s">
        <v>339</v>
      </c>
      <c r="E20">
        <v>17220.5</v>
      </c>
      <c r="F20">
        <v>24.539212500000001</v>
      </c>
      <c r="G20">
        <v>17200</v>
      </c>
      <c r="H20">
        <v>24.51</v>
      </c>
      <c r="I20">
        <v>51.6</v>
      </c>
      <c r="AB20" t="s">
        <v>375</v>
      </c>
      <c r="AC20">
        <v>41929.797100000003</v>
      </c>
    </row>
    <row r="21" spans="1:29" x14ac:dyDescent="0.25">
      <c r="A21" s="1">
        <v>19</v>
      </c>
      <c r="B21" t="s">
        <v>47</v>
      </c>
      <c r="C21">
        <v>-3383.56</v>
      </c>
      <c r="D21" t="s">
        <v>338</v>
      </c>
      <c r="E21">
        <v>16600</v>
      </c>
      <c r="F21">
        <v>23.655000000000001</v>
      </c>
      <c r="G21">
        <v>13300</v>
      </c>
      <c r="H21">
        <v>20</v>
      </c>
      <c r="I21">
        <v>39.9</v>
      </c>
      <c r="S21" t="s">
        <v>374</v>
      </c>
      <c r="AB21" t="s">
        <v>374</v>
      </c>
    </row>
    <row r="22" spans="1:29" x14ac:dyDescent="0.25">
      <c r="A22" s="1">
        <v>20</v>
      </c>
      <c r="B22" t="s">
        <v>48</v>
      </c>
      <c r="C22">
        <v>-7696.66</v>
      </c>
      <c r="D22" t="s">
        <v>340</v>
      </c>
      <c r="E22">
        <v>47800</v>
      </c>
      <c r="F22">
        <v>68.115000000000009</v>
      </c>
      <c r="G22">
        <v>40350</v>
      </c>
      <c r="H22">
        <v>57.498750000000001</v>
      </c>
      <c r="I22">
        <v>121.05</v>
      </c>
      <c r="J22" t="s">
        <v>374</v>
      </c>
      <c r="AB22" t="s">
        <v>374</v>
      </c>
    </row>
    <row r="23" spans="1:29" x14ac:dyDescent="0.25">
      <c r="A23" s="1">
        <v>21</v>
      </c>
      <c r="B23" t="s">
        <v>49</v>
      </c>
      <c r="C23">
        <v>-4079.21</v>
      </c>
      <c r="D23" t="s">
        <v>340</v>
      </c>
      <c r="E23">
        <v>47369</v>
      </c>
      <c r="F23">
        <v>67.500825000000006</v>
      </c>
      <c r="G23">
        <v>43550</v>
      </c>
      <c r="H23">
        <v>62.058750000000003</v>
      </c>
      <c r="I23">
        <v>130.65</v>
      </c>
      <c r="L23" t="s">
        <v>374</v>
      </c>
      <c r="AB23" t="s">
        <v>374</v>
      </c>
    </row>
    <row r="24" spans="1:29" x14ac:dyDescent="0.25">
      <c r="A24" s="1">
        <v>22</v>
      </c>
      <c r="B24" t="s">
        <v>50</v>
      </c>
      <c r="C24">
        <v>-7595.86</v>
      </c>
      <c r="D24" t="s">
        <v>345</v>
      </c>
      <c r="E24">
        <v>43076.499999999898</v>
      </c>
      <c r="F24">
        <v>61.38401249999999</v>
      </c>
      <c r="G24">
        <v>35700</v>
      </c>
      <c r="H24">
        <v>50.872500000000002</v>
      </c>
      <c r="I24">
        <v>107.1</v>
      </c>
      <c r="J24" t="s">
        <v>374</v>
      </c>
      <c r="AB24" t="s">
        <v>374</v>
      </c>
    </row>
    <row r="25" spans="1:29" x14ac:dyDescent="0.25">
      <c r="A25" s="1">
        <v>23</v>
      </c>
      <c r="B25" t="s">
        <v>51</v>
      </c>
      <c r="C25">
        <v>-10059.82</v>
      </c>
      <c r="D25" t="s">
        <v>346</v>
      </c>
      <c r="E25">
        <v>35147.999999999898</v>
      </c>
      <c r="F25">
        <v>50.085899999999988</v>
      </c>
      <c r="G25">
        <v>25250</v>
      </c>
      <c r="H25">
        <v>35.981250000000003</v>
      </c>
      <c r="I25">
        <v>75.75</v>
      </c>
      <c r="M25" t="s">
        <v>374</v>
      </c>
      <c r="AB25" t="s">
        <v>374</v>
      </c>
    </row>
    <row r="26" spans="1:29" x14ac:dyDescent="0.25">
      <c r="A26" s="1">
        <v>24</v>
      </c>
      <c r="B26" t="s">
        <v>52</v>
      </c>
      <c r="C26">
        <v>-10801.67</v>
      </c>
      <c r="D26" t="s">
        <v>345</v>
      </c>
      <c r="E26">
        <v>51000</v>
      </c>
      <c r="F26">
        <v>72.674999999999997</v>
      </c>
      <c r="G26">
        <v>40450</v>
      </c>
      <c r="H26">
        <v>57.641249999999999</v>
      </c>
      <c r="I26">
        <v>121.35</v>
      </c>
      <c r="M26" t="s">
        <v>374</v>
      </c>
      <c r="AB26" t="s">
        <v>374</v>
      </c>
    </row>
    <row r="27" spans="1:29" x14ac:dyDescent="0.25">
      <c r="A27" s="1">
        <v>25</v>
      </c>
      <c r="B27" t="s">
        <v>53</v>
      </c>
      <c r="C27">
        <v>-6824.12</v>
      </c>
      <c r="D27" t="s">
        <v>346</v>
      </c>
      <c r="E27">
        <v>85850</v>
      </c>
      <c r="F27">
        <v>122.33625000000001</v>
      </c>
      <c r="G27">
        <v>79500</v>
      </c>
      <c r="H27">
        <v>113.28749999999999</v>
      </c>
      <c r="I27">
        <v>238.5</v>
      </c>
      <c r="L27" t="s">
        <v>374</v>
      </c>
      <c r="AB27" t="s">
        <v>374</v>
      </c>
    </row>
    <row r="28" spans="1:29" x14ac:dyDescent="0.25">
      <c r="A28" s="1">
        <v>26</v>
      </c>
      <c r="B28" t="s">
        <v>54</v>
      </c>
      <c r="C28">
        <f>G28-E28-F28-H28</f>
        <v>-1425.0298499999999</v>
      </c>
      <c r="D28" t="s">
        <v>344</v>
      </c>
      <c r="E28">
        <v>64842</v>
      </c>
      <c r="F28">
        <v>92.399850000000001</v>
      </c>
      <c r="G28">
        <v>63600</v>
      </c>
      <c r="H28">
        <v>90.63</v>
      </c>
      <c r="I28">
        <v>190.8</v>
      </c>
      <c r="AB28" t="s">
        <v>375</v>
      </c>
      <c r="AC28">
        <v>65029.895700000008</v>
      </c>
    </row>
    <row r="29" spans="1:29" x14ac:dyDescent="0.25">
      <c r="A29" s="1">
        <v>27</v>
      </c>
      <c r="B29" t="s">
        <v>55</v>
      </c>
      <c r="C29">
        <v>54051.23</v>
      </c>
      <c r="D29" t="s">
        <v>347</v>
      </c>
      <c r="E29">
        <v>425210</v>
      </c>
      <c r="F29">
        <v>605.92425000000003</v>
      </c>
      <c r="G29">
        <v>482000</v>
      </c>
      <c r="H29">
        <v>686.85</v>
      </c>
      <c r="I29">
        <v>1446</v>
      </c>
      <c r="AB29" t="s">
        <v>374</v>
      </c>
    </row>
    <row r="30" spans="1:29" x14ac:dyDescent="0.25">
      <c r="A30" s="1">
        <v>28</v>
      </c>
      <c r="B30" t="s">
        <v>46</v>
      </c>
      <c r="C30">
        <v>6807.03</v>
      </c>
      <c r="D30" t="s">
        <v>348</v>
      </c>
      <c r="E30">
        <v>26159</v>
      </c>
      <c r="F30">
        <v>37.276575000000001</v>
      </c>
      <c r="G30">
        <v>33150</v>
      </c>
      <c r="H30">
        <v>47.238750000000003</v>
      </c>
      <c r="I30">
        <v>99.45</v>
      </c>
      <c r="AA30" t="s">
        <v>374</v>
      </c>
      <c r="AB30" t="s">
        <v>374</v>
      </c>
    </row>
    <row r="31" spans="1:29" x14ac:dyDescent="0.25">
      <c r="A31" s="1">
        <v>29</v>
      </c>
      <c r="B31" t="s">
        <v>56</v>
      </c>
      <c r="C31">
        <v>-14194.91</v>
      </c>
      <c r="D31" t="s">
        <v>344</v>
      </c>
      <c r="E31">
        <v>129000</v>
      </c>
      <c r="F31">
        <v>183.82499999999999</v>
      </c>
      <c r="G31">
        <v>115500</v>
      </c>
      <c r="H31">
        <v>164.58750000000001</v>
      </c>
      <c r="I31">
        <v>346.5</v>
      </c>
      <c r="L31" t="s">
        <v>374</v>
      </c>
      <c r="AB31" t="s">
        <v>374</v>
      </c>
    </row>
    <row r="32" spans="1:29" x14ac:dyDescent="0.25">
      <c r="A32" s="1">
        <v>30</v>
      </c>
      <c r="B32" t="s">
        <v>57</v>
      </c>
      <c r="C32">
        <v>1810.02</v>
      </c>
      <c r="D32" t="s">
        <v>341</v>
      </c>
      <c r="E32">
        <v>65000</v>
      </c>
      <c r="F32">
        <v>92.625</v>
      </c>
      <c r="G32">
        <v>67200</v>
      </c>
      <c r="H32">
        <v>95.76</v>
      </c>
      <c r="I32">
        <v>201.6</v>
      </c>
      <c r="L32" t="s">
        <v>374</v>
      </c>
      <c r="AB32" t="s">
        <v>374</v>
      </c>
    </row>
    <row r="33" spans="1:29" x14ac:dyDescent="0.25">
      <c r="A33" s="1">
        <v>31</v>
      </c>
      <c r="B33" t="s">
        <v>58</v>
      </c>
      <c r="C33">
        <v>832.4</v>
      </c>
      <c r="D33" t="s">
        <v>347</v>
      </c>
      <c r="E33">
        <v>32572.499999999902</v>
      </c>
      <c r="F33">
        <v>46.415812500000001</v>
      </c>
      <c r="G33">
        <v>33600</v>
      </c>
      <c r="H33">
        <v>47.88</v>
      </c>
      <c r="I33">
        <v>100.8</v>
      </c>
      <c r="N33" t="s">
        <v>374</v>
      </c>
      <c r="AB33" t="s">
        <v>374</v>
      </c>
    </row>
    <row r="34" spans="1:29" x14ac:dyDescent="0.25">
      <c r="A34" s="1">
        <v>32</v>
      </c>
      <c r="B34" t="s">
        <v>59</v>
      </c>
      <c r="C34">
        <v>371.75</v>
      </c>
      <c r="D34" t="s">
        <v>349</v>
      </c>
      <c r="E34">
        <v>12300</v>
      </c>
      <c r="F34">
        <v>20</v>
      </c>
      <c r="G34">
        <v>12750</v>
      </c>
      <c r="H34">
        <v>20</v>
      </c>
      <c r="I34">
        <v>38.25</v>
      </c>
      <c r="L34" t="s">
        <v>374</v>
      </c>
      <c r="AB34" t="s">
        <v>374</v>
      </c>
    </row>
    <row r="35" spans="1:29" x14ac:dyDescent="0.25">
      <c r="A35" s="1">
        <v>33</v>
      </c>
      <c r="B35" t="s">
        <v>60</v>
      </c>
      <c r="C35">
        <v>-166.97</v>
      </c>
      <c r="D35" t="s">
        <v>344</v>
      </c>
      <c r="E35">
        <v>9090</v>
      </c>
      <c r="F35">
        <v>20</v>
      </c>
      <c r="G35">
        <v>8990</v>
      </c>
      <c r="H35">
        <v>20</v>
      </c>
      <c r="I35">
        <v>26.97</v>
      </c>
      <c r="L35" t="s">
        <v>374</v>
      </c>
      <c r="AB35" t="s">
        <v>374</v>
      </c>
    </row>
    <row r="36" spans="1:29" x14ac:dyDescent="0.25">
      <c r="A36" s="1">
        <v>34</v>
      </c>
      <c r="B36" t="s">
        <v>61</v>
      </c>
      <c r="C36">
        <v>1475.95</v>
      </c>
      <c r="D36" t="s">
        <v>350</v>
      </c>
      <c r="E36">
        <v>26462</v>
      </c>
      <c r="F36">
        <v>37.708350000000003</v>
      </c>
      <c r="G36">
        <v>28100</v>
      </c>
      <c r="H36">
        <v>40.042499999999997</v>
      </c>
      <c r="I36">
        <v>84.3</v>
      </c>
      <c r="L36" t="s">
        <v>374</v>
      </c>
      <c r="AB36" t="s">
        <v>374</v>
      </c>
    </row>
    <row r="37" spans="1:29" x14ac:dyDescent="0.25">
      <c r="A37" s="1">
        <v>35</v>
      </c>
      <c r="B37" t="s">
        <v>62</v>
      </c>
      <c r="C37">
        <v>-1567</v>
      </c>
      <c r="D37" t="s">
        <v>338</v>
      </c>
      <c r="E37">
        <v>10500</v>
      </c>
      <c r="F37">
        <v>20</v>
      </c>
      <c r="G37">
        <v>9000</v>
      </c>
      <c r="H37">
        <v>20</v>
      </c>
      <c r="I37">
        <v>27</v>
      </c>
      <c r="S37" t="s">
        <v>374</v>
      </c>
      <c r="AB37" t="s">
        <v>374</v>
      </c>
    </row>
    <row r="38" spans="1:29" x14ac:dyDescent="0.25">
      <c r="A38" s="1">
        <v>36</v>
      </c>
      <c r="B38" t="s">
        <v>63</v>
      </c>
      <c r="C38">
        <f>G38-E38-F38-H38</f>
        <v>132460.565</v>
      </c>
      <c r="D38" t="s">
        <v>351</v>
      </c>
      <c r="E38">
        <v>52700</v>
      </c>
      <c r="F38">
        <v>75.097499999999997</v>
      </c>
      <c r="G38">
        <v>185500</v>
      </c>
      <c r="H38">
        <v>264.33749999999998</v>
      </c>
      <c r="I38">
        <v>556.5</v>
      </c>
      <c r="AB38" t="s">
        <v>375</v>
      </c>
      <c r="AC38">
        <v>53923.563200000011</v>
      </c>
    </row>
    <row r="39" spans="1:29" x14ac:dyDescent="0.25">
      <c r="A39" s="1">
        <v>37</v>
      </c>
      <c r="B39" t="s">
        <v>64</v>
      </c>
      <c r="C39">
        <v>28887.73</v>
      </c>
      <c r="D39" t="s">
        <v>336</v>
      </c>
      <c r="E39">
        <v>125745</v>
      </c>
      <c r="F39">
        <v>179.18662499999999</v>
      </c>
      <c r="G39">
        <v>155500</v>
      </c>
      <c r="H39">
        <v>221.58750000000001</v>
      </c>
      <c r="I39">
        <v>466.5</v>
      </c>
      <c r="N39" t="s">
        <v>374</v>
      </c>
      <c r="AB39" t="s">
        <v>374</v>
      </c>
    </row>
    <row r="40" spans="1:29" x14ac:dyDescent="0.25">
      <c r="A40" s="1">
        <v>38</v>
      </c>
      <c r="B40" t="s">
        <v>65</v>
      </c>
      <c r="C40">
        <v>5499.49</v>
      </c>
      <c r="D40" t="s">
        <v>336</v>
      </c>
      <c r="E40">
        <v>64000</v>
      </c>
      <c r="F40">
        <v>91.2</v>
      </c>
      <c r="G40">
        <v>69900</v>
      </c>
      <c r="H40">
        <v>99.607500000000002</v>
      </c>
      <c r="I40">
        <v>209.7</v>
      </c>
      <c r="AA40" t="s">
        <v>374</v>
      </c>
      <c r="AB40" t="s">
        <v>374</v>
      </c>
    </row>
    <row r="41" spans="1:29" x14ac:dyDescent="0.25">
      <c r="A41" s="1">
        <v>39</v>
      </c>
      <c r="B41" t="s">
        <v>66</v>
      </c>
      <c r="C41">
        <v>-367.43</v>
      </c>
      <c r="D41" t="s">
        <v>352</v>
      </c>
      <c r="E41">
        <v>39238.5</v>
      </c>
      <c r="F41">
        <v>55.914862500000012</v>
      </c>
      <c r="G41">
        <v>39100</v>
      </c>
      <c r="H41">
        <v>55.717500000000001</v>
      </c>
      <c r="I41">
        <v>117.3</v>
      </c>
      <c r="S41" t="s">
        <v>374</v>
      </c>
      <c r="AB41" t="s">
        <v>374</v>
      </c>
    </row>
    <row r="42" spans="1:29" x14ac:dyDescent="0.25">
      <c r="A42" s="1">
        <v>40</v>
      </c>
      <c r="B42" t="s">
        <v>67</v>
      </c>
      <c r="C42">
        <v>1517.27</v>
      </c>
      <c r="D42" t="s">
        <v>353</v>
      </c>
      <c r="E42">
        <v>74538</v>
      </c>
      <c r="F42">
        <v>106.21665</v>
      </c>
      <c r="G42">
        <v>76500</v>
      </c>
      <c r="H42">
        <v>109.0125</v>
      </c>
      <c r="I42">
        <v>229.5</v>
      </c>
      <c r="L42" t="s">
        <v>374</v>
      </c>
      <c r="AB42" t="s">
        <v>374</v>
      </c>
    </row>
    <row r="43" spans="1:29" x14ac:dyDescent="0.25">
      <c r="A43" s="1">
        <v>41</v>
      </c>
      <c r="B43" t="s">
        <v>68</v>
      </c>
      <c r="C43">
        <v>-881.3</v>
      </c>
      <c r="D43" t="s">
        <v>343</v>
      </c>
      <c r="E43">
        <v>30754.5</v>
      </c>
      <c r="F43">
        <v>43.825162500000012</v>
      </c>
      <c r="G43">
        <v>30050</v>
      </c>
      <c r="H43">
        <v>42.821249999999999</v>
      </c>
      <c r="I43">
        <v>90.15</v>
      </c>
      <c r="M43" t="s">
        <v>374</v>
      </c>
      <c r="AB43" t="s">
        <v>374</v>
      </c>
    </row>
    <row r="44" spans="1:29" x14ac:dyDescent="0.25">
      <c r="A44" s="1">
        <v>42</v>
      </c>
      <c r="B44" t="s">
        <v>69</v>
      </c>
      <c r="C44">
        <v>-2559.98</v>
      </c>
      <c r="D44" t="s">
        <v>339</v>
      </c>
      <c r="E44">
        <v>63200</v>
      </c>
      <c r="F44">
        <v>90.06</v>
      </c>
      <c r="G44">
        <v>61000</v>
      </c>
      <c r="H44">
        <v>86.924999999999997</v>
      </c>
      <c r="I44">
        <v>183</v>
      </c>
      <c r="O44" t="s">
        <v>374</v>
      </c>
      <c r="AB44" t="s">
        <v>374</v>
      </c>
    </row>
    <row r="45" spans="1:29" x14ac:dyDescent="0.25">
      <c r="A45" s="1">
        <v>43</v>
      </c>
      <c r="B45" t="s">
        <v>70</v>
      </c>
      <c r="C45">
        <v>5487.65</v>
      </c>
      <c r="D45" t="s">
        <v>354</v>
      </c>
      <c r="E45">
        <v>62620</v>
      </c>
      <c r="F45">
        <v>89.233500000000006</v>
      </c>
      <c r="G45">
        <v>68500</v>
      </c>
      <c r="H45">
        <v>97.612499999999997</v>
      </c>
      <c r="I45">
        <v>205.5</v>
      </c>
      <c r="S45" t="s">
        <v>374</v>
      </c>
      <c r="AB45" t="s">
        <v>374</v>
      </c>
    </row>
    <row r="46" spans="1:29" x14ac:dyDescent="0.25">
      <c r="A46" s="1">
        <v>44</v>
      </c>
      <c r="B46" t="s">
        <v>71</v>
      </c>
      <c r="C46">
        <v>1668.71</v>
      </c>
      <c r="D46" t="s">
        <v>355</v>
      </c>
      <c r="E46">
        <v>38100</v>
      </c>
      <c r="F46">
        <v>54.292499999999997</v>
      </c>
      <c r="G46">
        <v>40000</v>
      </c>
      <c r="H46">
        <v>57</v>
      </c>
      <c r="I46">
        <v>120</v>
      </c>
      <c r="N46" t="s">
        <v>374</v>
      </c>
      <c r="AB46" t="s">
        <v>374</v>
      </c>
    </row>
    <row r="47" spans="1:29" x14ac:dyDescent="0.25">
      <c r="A47" s="1">
        <v>45</v>
      </c>
      <c r="B47" t="s">
        <v>72</v>
      </c>
      <c r="C47">
        <f>G47-E47-F47-H47</f>
        <v>1060</v>
      </c>
      <c r="D47" t="s">
        <v>349</v>
      </c>
      <c r="E47">
        <v>11100</v>
      </c>
      <c r="F47">
        <v>20</v>
      </c>
      <c r="G47">
        <v>12200</v>
      </c>
      <c r="H47">
        <v>20</v>
      </c>
      <c r="I47">
        <v>36.6</v>
      </c>
      <c r="AB47" t="s">
        <v>375</v>
      </c>
      <c r="AC47">
        <v>65043.563200000011</v>
      </c>
    </row>
    <row r="48" spans="1:29" x14ac:dyDescent="0.25">
      <c r="A48" s="1">
        <v>46</v>
      </c>
      <c r="B48" t="s">
        <v>73</v>
      </c>
      <c r="C48">
        <v>-261.89999999999998</v>
      </c>
      <c r="D48" t="s">
        <v>337</v>
      </c>
      <c r="E48">
        <v>9494</v>
      </c>
      <c r="F48">
        <v>20</v>
      </c>
      <c r="G48">
        <v>9300</v>
      </c>
      <c r="H48">
        <v>20</v>
      </c>
      <c r="I48">
        <v>27.9</v>
      </c>
      <c r="N48" t="s">
        <v>374</v>
      </c>
      <c r="AB48" t="s">
        <v>374</v>
      </c>
    </row>
    <row r="49" spans="1:28" x14ac:dyDescent="0.25">
      <c r="A49" s="1">
        <v>47</v>
      </c>
      <c r="B49" t="s">
        <v>74</v>
      </c>
      <c r="C49">
        <v>1446.45</v>
      </c>
      <c r="D49" t="s">
        <v>356</v>
      </c>
      <c r="E49">
        <v>12322</v>
      </c>
      <c r="F49">
        <v>20</v>
      </c>
      <c r="G49">
        <v>13850</v>
      </c>
      <c r="H49">
        <v>20</v>
      </c>
      <c r="I49">
        <v>41.55</v>
      </c>
      <c r="L49" t="s">
        <v>374</v>
      </c>
      <c r="AB49" t="s">
        <v>374</v>
      </c>
    </row>
    <row r="50" spans="1:28" x14ac:dyDescent="0.25">
      <c r="A50" s="1">
        <v>48</v>
      </c>
      <c r="B50" t="s">
        <v>39</v>
      </c>
      <c r="C50">
        <v>25469.919999999998</v>
      </c>
      <c r="D50" t="s">
        <v>357</v>
      </c>
      <c r="E50">
        <v>42268.5</v>
      </c>
      <c r="F50">
        <v>60.232612500000002</v>
      </c>
      <c r="G50">
        <v>68100</v>
      </c>
      <c r="H50">
        <v>97.042500000000004</v>
      </c>
      <c r="I50">
        <v>204.3</v>
      </c>
      <c r="O50" t="s">
        <v>374</v>
      </c>
      <c r="AB50" t="s">
        <v>374</v>
      </c>
    </row>
    <row r="51" spans="1:28" x14ac:dyDescent="0.25">
      <c r="A51" s="1">
        <v>49</v>
      </c>
      <c r="B51" t="s">
        <v>75</v>
      </c>
      <c r="C51">
        <v>36184.089999999997</v>
      </c>
      <c r="D51" t="s">
        <v>354</v>
      </c>
      <c r="E51">
        <v>199980</v>
      </c>
      <c r="F51">
        <v>284.97149999999999</v>
      </c>
      <c r="G51">
        <v>237500</v>
      </c>
      <c r="H51">
        <v>338.4375</v>
      </c>
      <c r="I51">
        <v>712.5</v>
      </c>
      <c r="AB51" t="s">
        <v>374</v>
      </c>
    </row>
    <row r="52" spans="1:28" x14ac:dyDescent="0.25">
      <c r="A52" s="1">
        <v>50</v>
      </c>
      <c r="B52" t="s">
        <v>76</v>
      </c>
      <c r="C52">
        <v>-2577.1</v>
      </c>
      <c r="D52" t="s">
        <v>340</v>
      </c>
      <c r="E52">
        <v>14600</v>
      </c>
      <c r="F52">
        <v>20.805</v>
      </c>
      <c r="G52">
        <v>12100</v>
      </c>
      <c r="H52">
        <v>20</v>
      </c>
      <c r="I52">
        <v>36.299999999999997</v>
      </c>
      <c r="L52" t="s">
        <v>374</v>
      </c>
      <c r="AB52" t="s">
        <v>374</v>
      </c>
    </row>
    <row r="53" spans="1:28" x14ac:dyDescent="0.25">
      <c r="A53" s="1">
        <v>51</v>
      </c>
      <c r="B53" t="s">
        <v>77</v>
      </c>
      <c r="C53">
        <v>17672.259999999998</v>
      </c>
      <c r="D53" t="s">
        <v>358</v>
      </c>
      <c r="E53">
        <v>127500</v>
      </c>
      <c r="F53">
        <v>181.6875</v>
      </c>
      <c r="G53">
        <v>146000</v>
      </c>
      <c r="H53">
        <v>208.05</v>
      </c>
      <c r="I53">
        <v>438</v>
      </c>
      <c r="O53" t="s">
        <v>374</v>
      </c>
      <c r="AB53" t="s">
        <v>374</v>
      </c>
    </row>
    <row r="54" spans="1:28" x14ac:dyDescent="0.25">
      <c r="A54" s="1">
        <v>52</v>
      </c>
      <c r="B54" t="s">
        <v>78</v>
      </c>
      <c r="C54">
        <v>46810.65</v>
      </c>
      <c r="D54" t="s">
        <v>359</v>
      </c>
      <c r="E54">
        <v>167000</v>
      </c>
      <c r="F54">
        <v>237.97499999999999</v>
      </c>
      <c r="G54">
        <v>215000</v>
      </c>
      <c r="H54">
        <v>306.375</v>
      </c>
      <c r="I54">
        <v>645</v>
      </c>
      <c r="AB54" t="s">
        <v>374</v>
      </c>
    </row>
    <row r="55" spans="1:28" x14ac:dyDescent="0.25">
      <c r="A55" s="1">
        <v>53</v>
      </c>
      <c r="B55" t="s">
        <v>79</v>
      </c>
      <c r="C55">
        <v>6175.65</v>
      </c>
      <c r="D55" t="s">
        <v>337</v>
      </c>
      <c r="E55">
        <v>25000</v>
      </c>
      <c r="F55">
        <v>35.625</v>
      </c>
      <c r="G55">
        <v>31350</v>
      </c>
      <c r="H55">
        <v>44.673749999999998</v>
      </c>
      <c r="I55">
        <v>94.05</v>
      </c>
      <c r="O55" t="s">
        <v>374</v>
      </c>
      <c r="AB55" t="s">
        <v>374</v>
      </c>
    </row>
    <row r="56" spans="1:28" x14ac:dyDescent="0.25">
      <c r="A56" s="1">
        <v>54</v>
      </c>
      <c r="B56" t="s">
        <v>80</v>
      </c>
      <c r="C56">
        <v>-290.38</v>
      </c>
      <c r="D56" t="s">
        <v>353</v>
      </c>
      <c r="E56">
        <v>15600</v>
      </c>
      <c r="F56">
        <v>22.23</v>
      </c>
      <c r="G56">
        <v>15400</v>
      </c>
      <c r="H56">
        <v>21.945</v>
      </c>
      <c r="I56">
        <v>46.2</v>
      </c>
      <c r="L56" t="s">
        <v>374</v>
      </c>
      <c r="AB56" t="s">
        <v>374</v>
      </c>
    </row>
    <row r="57" spans="1:28" x14ac:dyDescent="0.25">
      <c r="A57" s="1">
        <v>55</v>
      </c>
      <c r="B57" t="s">
        <v>81</v>
      </c>
      <c r="C57">
        <v>-3784.54</v>
      </c>
      <c r="D57" t="s">
        <v>360</v>
      </c>
      <c r="E57">
        <v>22270.5</v>
      </c>
      <c r="F57">
        <v>31.735462500000011</v>
      </c>
      <c r="G57">
        <v>18600</v>
      </c>
      <c r="H57">
        <v>26.50500000000001</v>
      </c>
      <c r="I57">
        <v>55.8</v>
      </c>
      <c r="S57" t="s">
        <v>374</v>
      </c>
      <c r="AB57" t="s">
        <v>374</v>
      </c>
    </row>
    <row r="58" spans="1:28" x14ac:dyDescent="0.25">
      <c r="A58" s="1">
        <v>56</v>
      </c>
      <c r="B58" t="s">
        <v>82</v>
      </c>
      <c r="C58">
        <v>-652.53</v>
      </c>
      <c r="D58" t="s">
        <v>338</v>
      </c>
      <c r="E58">
        <v>8100</v>
      </c>
      <c r="F58">
        <v>20</v>
      </c>
      <c r="G58">
        <v>7510</v>
      </c>
      <c r="H58">
        <v>20</v>
      </c>
      <c r="I58">
        <v>22.53</v>
      </c>
      <c r="M58" t="s">
        <v>374</v>
      </c>
      <c r="AB58" t="s">
        <v>374</v>
      </c>
    </row>
    <row r="59" spans="1:28" x14ac:dyDescent="0.25">
      <c r="A59" s="1">
        <v>57</v>
      </c>
      <c r="B59" t="s">
        <v>83</v>
      </c>
      <c r="C59">
        <v>-11.28</v>
      </c>
      <c r="D59" t="s">
        <v>342</v>
      </c>
      <c r="E59">
        <v>16564</v>
      </c>
      <c r="F59">
        <v>23.6037</v>
      </c>
      <c r="G59">
        <v>16650</v>
      </c>
      <c r="H59">
        <v>23.72625</v>
      </c>
      <c r="I59">
        <v>49.95</v>
      </c>
      <c r="M59" t="s">
        <v>374</v>
      </c>
      <c r="AB59" t="s">
        <v>374</v>
      </c>
    </row>
    <row r="60" spans="1:28" x14ac:dyDescent="0.25">
      <c r="A60" s="1">
        <v>58</v>
      </c>
      <c r="B60" t="s">
        <v>62</v>
      </c>
      <c r="C60">
        <v>-1477.8</v>
      </c>
      <c r="D60" t="s">
        <v>340</v>
      </c>
      <c r="E60">
        <v>11009</v>
      </c>
      <c r="F60">
        <v>20</v>
      </c>
      <c r="G60">
        <v>9600</v>
      </c>
      <c r="H60">
        <v>20</v>
      </c>
      <c r="I60">
        <v>28.8</v>
      </c>
      <c r="L60" t="s">
        <v>374</v>
      </c>
      <c r="AB60" t="s">
        <v>374</v>
      </c>
    </row>
    <row r="61" spans="1:28" x14ac:dyDescent="0.25">
      <c r="A61" s="1">
        <v>59</v>
      </c>
      <c r="B61" t="s">
        <v>84</v>
      </c>
      <c r="C61">
        <v>-8255.9699999999993</v>
      </c>
      <c r="D61" t="s">
        <v>344</v>
      </c>
      <c r="E61">
        <v>113625</v>
      </c>
      <c r="F61">
        <v>161.91562500000001</v>
      </c>
      <c r="G61">
        <v>106000</v>
      </c>
      <c r="H61">
        <v>151.05000000000001</v>
      </c>
      <c r="I61">
        <v>318</v>
      </c>
      <c r="S61" t="s">
        <v>374</v>
      </c>
      <c r="AB61" t="s">
        <v>374</v>
      </c>
    </row>
    <row r="62" spans="1:28" x14ac:dyDescent="0.25">
      <c r="A62" s="1">
        <v>60</v>
      </c>
      <c r="B62" t="s">
        <v>85</v>
      </c>
      <c r="C62">
        <v>-3219.56</v>
      </c>
      <c r="D62" t="s">
        <v>338</v>
      </c>
      <c r="E62">
        <v>39800</v>
      </c>
      <c r="F62">
        <v>56.715000000000003</v>
      </c>
      <c r="G62">
        <v>36800</v>
      </c>
      <c r="H62">
        <v>52.440000000000012</v>
      </c>
      <c r="I62">
        <v>110.4</v>
      </c>
      <c r="M62" t="s">
        <v>374</v>
      </c>
      <c r="AB62" t="s">
        <v>374</v>
      </c>
    </row>
    <row r="63" spans="1:28" x14ac:dyDescent="0.25">
      <c r="A63" s="1">
        <v>61</v>
      </c>
      <c r="B63" t="s">
        <v>86</v>
      </c>
      <c r="C63">
        <v>-4746.96</v>
      </c>
      <c r="D63" t="s">
        <v>340</v>
      </c>
      <c r="E63">
        <v>28600</v>
      </c>
      <c r="F63">
        <v>40.755000000000003</v>
      </c>
      <c r="G63">
        <v>24000</v>
      </c>
      <c r="H63">
        <v>34.200000000000003</v>
      </c>
      <c r="I63">
        <v>72</v>
      </c>
      <c r="M63" t="s">
        <v>374</v>
      </c>
      <c r="AB63" t="s">
        <v>374</v>
      </c>
    </row>
    <row r="64" spans="1:28" x14ac:dyDescent="0.25">
      <c r="A64" s="1">
        <v>62</v>
      </c>
      <c r="B64" t="s">
        <v>87</v>
      </c>
      <c r="C64">
        <v>-3510.68</v>
      </c>
      <c r="D64" t="s">
        <v>338</v>
      </c>
      <c r="E64">
        <v>30000</v>
      </c>
      <c r="F64">
        <v>42.75</v>
      </c>
      <c r="G64">
        <v>26650</v>
      </c>
      <c r="H64">
        <v>37.97625</v>
      </c>
      <c r="I64">
        <v>79.95</v>
      </c>
      <c r="M64" t="s">
        <v>374</v>
      </c>
      <c r="AB64" t="s">
        <v>374</v>
      </c>
    </row>
    <row r="65" spans="1:29" x14ac:dyDescent="0.25">
      <c r="A65" s="1">
        <v>63</v>
      </c>
      <c r="B65" t="s">
        <v>88</v>
      </c>
      <c r="C65">
        <v>-5346.42</v>
      </c>
      <c r="D65" t="s">
        <v>355</v>
      </c>
      <c r="E65">
        <v>63000</v>
      </c>
      <c r="F65">
        <v>89.775000000000006</v>
      </c>
      <c r="G65">
        <v>58000</v>
      </c>
      <c r="H65">
        <v>82.65</v>
      </c>
      <c r="I65">
        <v>174</v>
      </c>
      <c r="P65" t="s">
        <v>374</v>
      </c>
      <c r="AB65" t="s">
        <v>374</v>
      </c>
    </row>
    <row r="66" spans="1:29" x14ac:dyDescent="0.25">
      <c r="A66" s="1">
        <v>64</v>
      </c>
      <c r="B66" t="s">
        <v>89</v>
      </c>
      <c r="C66">
        <v>-1030.6400000000001</v>
      </c>
      <c r="D66" t="s">
        <v>338</v>
      </c>
      <c r="E66">
        <v>7850</v>
      </c>
      <c r="F66">
        <v>20</v>
      </c>
      <c r="G66">
        <v>6880</v>
      </c>
      <c r="H66">
        <v>20</v>
      </c>
      <c r="I66">
        <v>20.64</v>
      </c>
      <c r="M66" t="s">
        <v>374</v>
      </c>
      <c r="AB66" t="s">
        <v>374</v>
      </c>
    </row>
    <row r="67" spans="1:29" x14ac:dyDescent="0.25">
      <c r="A67" s="1">
        <v>65</v>
      </c>
      <c r="B67" t="s">
        <v>90</v>
      </c>
      <c r="C67">
        <f>G67-E67-F67-H67</f>
        <v>15913.271250000002</v>
      </c>
      <c r="D67" t="s">
        <v>359</v>
      </c>
      <c r="E67">
        <v>39950</v>
      </c>
      <c r="F67">
        <v>56.928750000000001</v>
      </c>
      <c r="G67">
        <v>56000</v>
      </c>
      <c r="H67">
        <v>79.8</v>
      </c>
      <c r="I67">
        <v>168</v>
      </c>
      <c r="AB67" t="s">
        <v>375</v>
      </c>
      <c r="AC67">
        <v>105050.49195</v>
      </c>
    </row>
    <row r="68" spans="1:29" x14ac:dyDescent="0.25">
      <c r="A68" s="1">
        <v>66</v>
      </c>
      <c r="B68" t="s">
        <v>91</v>
      </c>
      <c r="C68">
        <v>5716.74</v>
      </c>
      <c r="D68" t="s">
        <v>358</v>
      </c>
      <c r="E68">
        <v>60900</v>
      </c>
      <c r="F68">
        <v>86.782499999999999</v>
      </c>
      <c r="G68">
        <v>67000</v>
      </c>
      <c r="H68">
        <v>95.474999999999994</v>
      </c>
      <c r="I68">
        <v>201</v>
      </c>
      <c r="L68" t="s">
        <v>374</v>
      </c>
      <c r="AB68" t="s">
        <v>374</v>
      </c>
    </row>
    <row r="69" spans="1:29" x14ac:dyDescent="0.25">
      <c r="A69" s="1">
        <v>67</v>
      </c>
      <c r="B69" t="s">
        <v>92</v>
      </c>
      <c r="C69">
        <v>-7363.51</v>
      </c>
      <c r="D69" t="s">
        <v>338</v>
      </c>
      <c r="E69">
        <v>120190</v>
      </c>
      <c r="F69">
        <v>171.27074999999999</v>
      </c>
      <c r="G69">
        <v>113500</v>
      </c>
      <c r="H69">
        <v>161.73750000000001</v>
      </c>
      <c r="I69">
        <v>340.5</v>
      </c>
      <c r="L69" t="s">
        <v>374</v>
      </c>
      <c r="AB69" t="s">
        <v>374</v>
      </c>
    </row>
    <row r="70" spans="1:29" x14ac:dyDescent="0.25">
      <c r="A70" s="1">
        <v>68</v>
      </c>
      <c r="B70" t="s">
        <v>93</v>
      </c>
      <c r="C70">
        <v>2714.65</v>
      </c>
      <c r="D70" t="s">
        <v>361</v>
      </c>
      <c r="E70">
        <v>38000</v>
      </c>
      <c r="F70">
        <v>54.15</v>
      </c>
      <c r="G70">
        <v>40950</v>
      </c>
      <c r="H70">
        <v>58.353750000000012</v>
      </c>
      <c r="I70">
        <v>122.85</v>
      </c>
      <c r="AB70" t="s">
        <v>374</v>
      </c>
    </row>
    <row r="71" spans="1:29" x14ac:dyDescent="0.25">
      <c r="A71" s="1">
        <v>69</v>
      </c>
      <c r="B71" t="s">
        <v>94</v>
      </c>
      <c r="C71">
        <v>-14784.66</v>
      </c>
      <c r="D71" t="s">
        <v>338</v>
      </c>
      <c r="E71">
        <v>148975</v>
      </c>
      <c r="F71">
        <v>212.28937500000001</v>
      </c>
      <c r="G71">
        <v>135000</v>
      </c>
      <c r="H71">
        <v>192.375</v>
      </c>
      <c r="I71">
        <v>405</v>
      </c>
      <c r="L71" t="s">
        <v>374</v>
      </c>
      <c r="AB71" t="s">
        <v>374</v>
      </c>
    </row>
    <row r="72" spans="1:29" x14ac:dyDescent="0.25">
      <c r="A72" s="1">
        <v>70</v>
      </c>
      <c r="B72" t="s">
        <v>95</v>
      </c>
      <c r="C72">
        <v>1578.47</v>
      </c>
      <c r="D72" t="s">
        <v>357</v>
      </c>
      <c r="E72">
        <v>16766</v>
      </c>
      <c r="F72">
        <v>23.891549999999999</v>
      </c>
      <c r="G72">
        <v>18450</v>
      </c>
      <c r="H72">
        <v>26.291250000000002</v>
      </c>
      <c r="I72">
        <v>55.35</v>
      </c>
      <c r="L72" t="s">
        <v>374</v>
      </c>
      <c r="AB72" t="s">
        <v>374</v>
      </c>
    </row>
    <row r="73" spans="1:29" x14ac:dyDescent="0.25">
      <c r="A73" s="1">
        <v>71</v>
      </c>
      <c r="B73" t="s">
        <v>96</v>
      </c>
      <c r="C73">
        <v>-286.27999999999997</v>
      </c>
      <c r="D73" t="s">
        <v>337</v>
      </c>
      <c r="E73">
        <v>14900</v>
      </c>
      <c r="F73">
        <v>21.232500000000002</v>
      </c>
      <c r="G73">
        <v>14700</v>
      </c>
      <c r="H73">
        <v>20.947500000000002</v>
      </c>
      <c r="I73">
        <v>44.1</v>
      </c>
      <c r="N73" t="s">
        <v>374</v>
      </c>
      <c r="AB73" t="s">
        <v>374</v>
      </c>
    </row>
    <row r="74" spans="1:29" x14ac:dyDescent="0.25">
      <c r="A74" s="1">
        <v>72</v>
      </c>
      <c r="B74" t="s">
        <v>97</v>
      </c>
      <c r="C74">
        <v>-898.96</v>
      </c>
      <c r="D74" t="s">
        <v>341</v>
      </c>
      <c r="E74">
        <v>22371.499999999902</v>
      </c>
      <c r="F74">
        <v>31.8793875</v>
      </c>
      <c r="G74">
        <v>21600</v>
      </c>
      <c r="H74">
        <v>30.78</v>
      </c>
      <c r="I74">
        <v>64.8</v>
      </c>
      <c r="N74" t="s">
        <v>374</v>
      </c>
      <c r="AB74" t="s">
        <v>374</v>
      </c>
    </row>
    <row r="75" spans="1:29" x14ac:dyDescent="0.25">
      <c r="A75" s="1">
        <v>73</v>
      </c>
      <c r="B75" t="s">
        <v>98</v>
      </c>
      <c r="C75">
        <f>G75-E75-F75-H75</f>
        <v>-195.29687500000003</v>
      </c>
      <c r="D75" t="s">
        <v>352</v>
      </c>
      <c r="E75">
        <v>34150</v>
      </c>
      <c r="F75">
        <v>46.775625000000012</v>
      </c>
      <c r="G75">
        <v>34050</v>
      </c>
      <c r="H75">
        <v>48.521250000000002</v>
      </c>
      <c r="I75">
        <v>102.15</v>
      </c>
      <c r="AB75" t="s">
        <v>375</v>
      </c>
      <c r="AC75">
        <v>139247.26757500001</v>
      </c>
    </row>
    <row r="76" spans="1:29" x14ac:dyDescent="0.25">
      <c r="A76" s="1">
        <v>74</v>
      </c>
      <c r="B76" t="s">
        <v>50</v>
      </c>
      <c r="C76">
        <v>-5052.75</v>
      </c>
      <c r="D76" t="s">
        <v>344</v>
      </c>
      <c r="E76">
        <v>61812</v>
      </c>
      <c r="F76">
        <v>88.082100000000025</v>
      </c>
      <c r="G76">
        <v>57100</v>
      </c>
      <c r="H76">
        <v>81.367500000000007</v>
      </c>
      <c r="I76">
        <v>171.3</v>
      </c>
      <c r="L76" t="s">
        <v>374</v>
      </c>
      <c r="AB76" t="s">
        <v>374</v>
      </c>
    </row>
    <row r="77" spans="1:29" x14ac:dyDescent="0.25">
      <c r="A77" s="1">
        <v>75</v>
      </c>
      <c r="B77" t="s">
        <v>49</v>
      </c>
      <c r="C77">
        <v>11270.31</v>
      </c>
      <c r="D77" t="s">
        <v>351</v>
      </c>
      <c r="E77">
        <v>55752</v>
      </c>
      <c r="F77">
        <v>79.446600000000004</v>
      </c>
      <c r="G77">
        <v>67400</v>
      </c>
      <c r="H77">
        <v>96.045000000000002</v>
      </c>
      <c r="I77">
        <v>202.2</v>
      </c>
      <c r="L77" t="s">
        <v>374</v>
      </c>
      <c r="AB77" t="s">
        <v>374</v>
      </c>
    </row>
    <row r="78" spans="1:29" x14ac:dyDescent="0.25">
      <c r="A78" s="1">
        <v>76</v>
      </c>
      <c r="B78" t="s">
        <v>99</v>
      </c>
      <c r="C78">
        <v>4443.4399999999996</v>
      </c>
      <c r="D78" t="s">
        <v>342</v>
      </c>
      <c r="E78">
        <v>30855.5</v>
      </c>
      <c r="F78">
        <v>43.969087500000001</v>
      </c>
      <c r="G78">
        <v>35500</v>
      </c>
      <c r="H78">
        <v>50.587499999999999</v>
      </c>
      <c r="I78">
        <v>106.5</v>
      </c>
      <c r="L78" t="s">
        <v>374</v>
      </c>
      <c r="AB78" t="s">
        <v>374</v>
      </c>
    </row>
    <row r="79" spans="1:29" x14ac:dyDescent="0.25">
      <c r="A79" s="1">
        <v>77</v>
      </c>
      <c r="B79" t="s">
        <v>100</v>
      </c>
      <c r="C79">
        <v>2419.67</v>
      </c>
      <c r="D79" t="s">
        <v>336</v>
      </c>
      <c r="E79">
        <v>99485</v>
      </c>
      <c r="F79">
        <v>141.76612499999999</v>
      </c>
      <c r="G79">
        <v>102500</v>
      </c>
      <c r="H79">
        <v>146.0625</v>
      </c>
      <c r="I79">
        <v>307.5</v>
      </c>
      <c r="L79" t="s">
        <v>374</v>
      </c>
      <c r="AB79" t="s">
        <v>374</v>
      </c>
    </row>
    <row r="80" spans="1:29" x14ac:dyDescent="0.25">
      <c r="A80" s="1">
        <v>78</v>
      </c>
      <c r="B80" t="s">
        <v>101</v>
      </c>
      <c r="C80">
        <v>-4371.25</v>
      </c>
      <c r="D80" t="s">
        <v>338</v>
      </c>
      <c r="E80">
        <v>32450</v>
      </c>
      <c r="F80">
        <v>46.241250000000008</v>
      </c>
      <c r="G80">
        <v>28250</v>
      </c>
      <c r="H80">
        <v>40.256250000000001</v>
      </c>
      <c r="I80">
        <v>84.75</v>
      </c>
      <c r="L80" t="s">
        <v>374</v>
      </c>
      <c r="AB80" t="s">
        <v>374</v>
      </c>
    </row>
    <row r="81" spans="1:29" x14ac:dyDescent="0.25">
      <c r="A81" s="1">
        <v>79</v>
      </c>
      <c r="B81" t="s">
        <v>102</v>
      </c>
      <c r="C81">
        <v>53032.79</v>
      </c>
      <c r="D81" t="s">
        <v>342</v>
      </c>
      <c r="E81">
        <v>1060500</v>
      </c>
      <c r="F81">
        <v>1511.2125000000001</v>
      </c>
      <c r="G81">
        <v>1120000</v>
      </c>
      <c r="H81">
        <v>1596</v>
      </c>
      <c r="I81">
        <v>3360</v>
      </c>
      <c r="AB81" t="s">
        <v>374</v>
      </c>
    </row>
    <row r="82" spans="1:29" x14ac:dyDescent="0.25">
      <c r="A82" s="1">
        <v>80</v>
      </c>
      <c r="B82" t="s">
        <v>103</v>
      </c>
      <c r="C82">
        <v>2083.7399999999998</v>
      </c>
      <c r="D82" t="s">
        <v>354</v>
      </c>
      <c r="E82">
        <v>13029</v>
      </c>
      <c r="F82">
        <v>20</v>
      </c>
      <c r="G82">
        <v>15200</v>
      </c>
      <c r="H82">
        <v>21.66</v>
      </c>
      <c r="I82">
        <v>45.6</v>
      </c>
      <c r="L82" t="s">
        <v>374</v>
      </c>
      <c r="AB82" t="s">
        <v>374</v>
      </c>
    </row>
    <row r="83" spans="1:29" x14ac:dyDescent="0.25">
      <c r="A83" s="1">
        <v>81</v>
      </c>
      <c r="B83" t="s">
        <v>104</v>
      </c>
      <c r="C83">
        <f>G83-E83-F83-H83</f>
        <v>-2004.9557749999999</v>
      </c>
      <c r="D83" t="s">
        <v>362</v>
      </c>
      <c r="E83">
        <v>43733</v>
      </c>
      <c r="F83">
        <v>62.319524999999999</v>
      </c>
      <c r="G83">
        <v>41850</v>
      </c>
      <c r="H83">
        <v>59.636249999999997</v>
      </c>
      <c r="I83">
        <v>125.55</v>
      </c>
      <c r="AB83" t="s">
        <v>375</v>
      </c>
      <c r="AC83">
        <v>183042.5871</v>
      </c>
    </row>
    <row r="84" spans="1:29" x14ac:dyDescent="0.25">
      <c r="A84" s="1">
        <v>82</v>
      </c>
      <c r="B84" t="s">
        <v>105</v>
      </c>
      <c r="C84">
        <v>-1126.1500000000001</v>
      </c>
      <c r="D84" t="s">
        <v>338</v>
      </c>
      <c r="E84">
        <v>13100</v>
      </c>
      <c r="F84">
        <v>20</v>
      </c>
      <c r="G84">
        <v>12050</v>
      </c>
      <c r="H84">
        <v>20</v>
      </c>
      <c r="I84">
        <v>36.15</v>
      </c>
      <c r="N84" t="s">
        <v>374</v>
      </c>
      <c r="AB84" t="s">
        <v>374</v>
      </c>
    </row>
    <row r="85" spans="1:29" x14ac:dyDescent="0.25">
      <c r="A85" s="1">
        <v>83</v>
      </c>
      <c r="B85" t="s">
        <v>106</v>
      </c>
      <c r="C85">
        <v>-8681.2199999999993</v>
      </c>
      <c r="D85" t="s">
        <v>360</v>
      </c>
      <c r="E85">
        <v>122500</v>
      </c>
      <c r="F85">
        <v>174.5625</v>
      </c>
      <c r="G85">
        <v>114500</v>
      </c>
      <c r="H85">
        <v>163.16249999999999</v>
      </c>
      <c r="I85">
        <v>343.5</v>
      </c>
      <c r="L85" t="s">
        <v>374</v>
      </c>
      <c r="AB85" t="s">
        <v>374</v>
      </c>
    </row>
    <row r="86" spans="1:29" x14ac:dyDescent="0.25">
      <c r="A86" s="1">
        <v>84</v>
      </c>
      <c r="B86" t="s">
        <v>107</v>
      </c>
      <c r="C86">
        <v>568.54999999999995</v>
      </c>
      <c r="D86" t="s">
        <v>356</v>
      </c>
      <c r="E86">
        <v>30450</v>
      </c>
      <c r="F86">
        <v>43.391249999999999</v>
      </c>
      <c r="G86">
        <v>31200</v>
      </c>
      <c r="H86">
        <v>44.46</v>
      </c>
      <c r="I86">
        <v>93.6</v>
      </c>
      <c r="O86" t="s">
        <v>374</v>
      </c>
      <c r="AB86" t="s">
        <v>374</v>
      </c>
    </row>
    <row r="87" spans="1:29" x14ac:dyDescent="0.25">
      <c r="A87" s="1">
        <v>85</v>
      </c>
      <c r="B87" t="s">
        <v>108</v>
      </c>
      <c r="C87">
        <v>12155.61</v>
      </c>
      <c r="D87" t="s">
        <v>348</v>
      </c>
      <c r="E87">
        <v>50096</v>
      </c>
      <c r="F87">
        <v>71.386800000000022</v>
      </c>
      <c r="G87">
        <v>62600</v>
      </c>
      <c r="H87">
        <v>89.204999999999998</v>
      </c>
      <c r="I87">
        <v>187.8</v>
      </c>
      <c r="L87" t="s">
        <v>374</v>
      </c>
      <c r="AB87" t="s">
        <v>374</v>
      </c>
    </row>
    <row r="88" spans="1:29" x14ac:dyDescent="0.25">
      <c r="A88" s="1">
        <v>86</v>
      </c>
      <c r="B88" t="s">
        <v>109</v>
      </c>
      <c r="C88">
        <v>11639.21</v>
      </c>
      <c r="D88" t="s">
        <v>363</v>
      </c>
      <c r="E88">
        <v>70295.999999999898</v>
      </c>
      <c r="F88">
        <v>100.1718</v>
      </c>
      <c r="G88">
        <v>82400</v>
      </c>
      <c r="H88">
        <v>117.42</v>
      </c>
      <c r="I88">
        <v>247.2</v>
      </c>
      <c r="N88" t="s">
        <v>374</v>
      </c>
      <c r="AB88" t="s">
        <v>374</v>
      </c>
    </row>
    <row r="89" spans="1:29" x14ac:dyDescent="0.25">
      <c r="A89" s="1">
        <v>87</v>
      </c>
      <c r="B89" t="s">
        <v>110</v>
      </c>
      <c r="C89">
        <f>G89-E89-F89-H89</f>
        <v>-1900.0349999999999</v>
      </c>
      <c r="D89" t="s">
        <v>344</v>
      </c>
      <c r="E89">
        <v>36000</v>
      </c>
      <c r="F89">
        <v>51.3</v>
      </c>
      <c r="G89">
        <v>34200</v>
      </c>
      <c r="H89">
        <v>48.734999999999999</v>
      </c>
      <c r="I89">
        <v>102.6</v>
      </c>
      <c r="AB89" t="s">
        <v>375</v>
      </c>
      <c r="AC89">
        <v>219093.88709999999</v>
      </c>
    </row>
    <row r="90" spans="1:29" x14ac:dyDescent="0.25">
      <c r="A90" s="1">
        <v>88</v>
      </c>
      <c r="B90" t="s">
        <v>73</v>
      </c>
      <c r="C90">
        <v>13309.64</v>
      </c>
      <c r="D90" t="s">
        <v>336</v>
      </c>
      <c r="E90">
        <v>13750</v>
      </c>
      <c r="F90">
        <v>20</v>
      </c>
      <c r="G90">
        <v>27200</v>
      </c>
      <c r="H90">
        <v>38.76</v>
      </c>
      <c r="I90">
        <v>81.600000000000023</v>
      </c>
      <c r="N90" t="s">
        <v>374</v>
      </c>
      <c r="AB90" t="s">
        <v>374</v>
      </c>
    </row>
    <row r="91" spans="1:29" x14ac:dyDescent="0.25">
      <c r="A91" s="1">
        <v>89</v>
      </c>
      <c r="B91" t="s">
        <v>111</v>
      </c>
      <c r="C91">
        <v>5593.74</v>
      </c>
      <c r="D91" t="s">
        <v>336</v>
      </c>
      <c r="E91">
        <v>150000</v>
      </c>
      <c r="F91">
        <v>213.75</v>
      </c>
      <c r="G91">
        <v>156500</v>
      </c>
      <c r="H91">
        <v>223.01249999999999</v>
      </c>
      <c r="I91">
        <v>469.5</v>
      </c>
      <c r="AB91" t="s">
        <v>374</v>
      </c>
    </row>
    <row r="92" spans="1:29" x14ac:dyDescent="0.25">
      <c r="A92" s="1">
        <v>90</v>
      </c>
      <c r="B92" t="s">
        <v>112</v>
      </c>
      <c r="C92">
        <v>-477.05</v>
      </c>
      <c r="D92" t="s">
        <v>337</v>
      </c>
      <c r="E92">
        <v>12750</v>
      </c>
      <c r="F92">
        <v>20</v>
      </c>
      <c r="G92">
        <v>12350</v>
      </c>
      <c r="H92">
        <v>20</v>
      </c>
      <c r="I92">
        <v>37.049999999999997</v>
      </c>
      <c r="L92" t="s">
        <v>374</v>
      </c>
      <c r="AB92" t="s">
        <v>374</v>
      </c>
    </row>
    <row r="93" spans="1:29" x14ac:dyDescent="0.25">
      <c r="A93" s="1">
        <v>91</v>
      </c>
      <c r="B93" t="s">
        <v>62</v>
      </c>
      <c r="C93">
        <v>4846.09</v>
      </c>
      <c r="D93" t="s">
        <v>362</v>
      </c>
      <c r="E93">
        <v>11312</v>
      </c>
      <c r="F93">
        <v>20</v>
      </c>
      <c r="G93">
        <v>16250</v>
      </c>
      <c r="H93">
        <v>23.15625</v>
      </c>
      <c r="I93">
        <v>48.75</v>
      </c>
      <c r="N93" t="s">
        <v>374</v>
      </c>
      <c r="AB93" t="s">
        <v>374</v>
      </c>
    </row>
    <row r="94" spans="1:29" x14ac:dyDescent="0.25">
      <c r="A94" s="1">
        <v>92</v>
      </c>
      <c r="B94" t="s">
        <v>113</v>
      </c>
      <c r="C94">
        <v>1580.8</v>
      </c>
      <c r="D94" t="s">
        <v>363</v>
      </c>
      <c r="E94">
        <v>121200</v>
      </c>
      <c r="F94">
        <v>172.71</v>
      </c>
      <c r="G94">
        <v>123500</v>
      </c>
      <c r="H94">
        <v>175.98750000000001</v>
      </c>
      <c r="I94">
        <v>370.5</v>
      </c>
      <c r="L94" t="s">
        <v>374</v>
      </c>
      <c r="AB94" t="s">
        <v>374</v>
      </c>
    </row>
    <row r="95" spans="1:29" x14ac:dyDescent="0.25">
      <c r="A95" s="1">
        <v>93</v>
      </c>
      <c r="B95" t="s">
        <v>114</v>
      </c>
      <c r="C95">
        <v>-520.14</v>
      </c>
      <c r="D95" t="s">
        <v>344</v>
      </c>
      <c r="E95">
        <v>3850</v>
      </c>
      <c r="F95">
        <v>20</v>
      </c>
      <c r="G95">
        <v>3380</v>
      </c>
      <c r="H95">
        <v>20</v>
      </c>
      <c r="I95">
        <v>10.14</v>
      </c>
      <c r="N95" t="s">
        <v>374</v>
      </c>
      <c r="AB95" t="s">
        <v>374</v>
      </c>
    </row>
    <row r="96" spans="1:29" x14ac:dyDescent="0.25">
      <c r="A96" s="1">
        <v>94</v>
      </c>
      <c r="B96" t="s">
        <v>115</v>
      </c>
      <c r="C96">
        <v>-5408.53</v>
      </c>
      <c r="D96" t="s">
        <v>345</v>
      </c>
      <c r="E96">
        <v>65447.999999999898</v>
      </c>
      <c r="F96">
        <v>93.263400000000004</v>
      </c>
      <c r="G96">
        <v>60400</v>
      </c>
      <c r="H96">
        <v>86.070000000000022</v>
      </c>
      <c r="I96">
        <v>181.2</v>
      </c>
      <c r="R96" t="s">
        <v>374</v>
      </c>
      <c r="AB96" t="s">
        <v>374</v>
      </c>
    </row>
    <row r="97" spans="1:29" x14ac:dyDescent="0.25">
      <c r="A97" s="1">
        <v>95</v>
      </c>
      <c r="B97" t="s">
        <v>116</v>
      </c>
      <c r="C97">
        <v>23.3</v>
      </c>
      <c r="D97" t="s">
        <v>341</v>
      </c>
      <c r="E97">
        <v>8810</v>
      </c>
      <c r="F97">
        <v>20</v>
      </c>
      <c r="G97">
        <v>8900</v>
      </c>
      <c r="H97">
        <v>20</v>
      </c>
      <c r="I97">
        <v>26.7</v>
      </c>
      <c r="L97" t="s">
        <v>374</v>
      </c>
      <c r="AB97" t="s">
        <v>374</v>
      </c>
    </row>
    <row r="98" spans="1:29" x14ac:dyDescent="0.25">
      <c r="A98" s="1">
        <v>96</v>
      </c>
      <c r="B98" t="s">
        <v>117</v>
      </c>
      <c r="C98">
        <v>5275.5</v>
      </c>
      <c r="D98" t="s">
        <v>337</v>
      </c>
      <c r="E98">
        <v>95142</v>
      </c>
      <c r="F98">
        <v>135.57735</v>
      </c>
      <c r="G98">
        <v>101000</v>
      </c>
      <c r="H98">
        <v>143.92500000000001</v>
      </c>
      <c r="I98">
        <v>303</v>
      </c>
      <c r="L98" t="s">
        <v>374</v>
      </c>
      <c r="AB98" t="s">
        <v>374</v>
      </c>
    </row>
    <row r="99" spans="1:29" x14ac:dyDescent="0.25">
      <c r="A99" s="1">
        <v>97</v>
      </c>
      <c r="B99" t="s">
        <v>118</v>
      </c>
      <c r="C99">
        <v>730.54</v>
      </c>
      <c r="D99" t="s">
        <v>361</v>
      </c>
      <c r="E99">
        <v>7524.5</v>
      </c>
      <c r="F99">
        <v>20</v>
      </c>
      <c r="G99">
        <v>8320</v>
      </c>
      <c r="H99">
        <v>20</v>
      </c>
      <c r="I99">
        <v>24.96</v>
      </c>
      <c r="L99" t="s">
        <v>374</v>
      </c>
      <c r="AB99" t="s">
        <v>374</v>
      </c>
    </row>
    <row r="100" spans="1:29" x14ac:dyDescent="0.25">
      <c r="A100" s="1">
        <v>98</v>
      </c>
      <c r="B100" t="s">
        <v>119</v>
      </c>
      <c r="C100">
        <v>-7578.81</v>
      </c>
      <c r="D100" t="s">
        <v>345</v>
      </c>
      <c r="E100">
        <v>70200</v>
      </c>
      <c r="F100">
        <v>100.035</v>
      </c>
      <c r="G100">
        <v>63000</v>
      </c>
      <c r="H100">
        <v>89.775000000000006</v>
      </c>
      <c r="I100">
        <v>189</v>
      </c>
      <c r="L100" t="s">
        <v>374</v>
      </c>
      <c r="AB100" t="s">
        <v>374</v>
      </c>
    </row>
    <row r="101" spans="1:29" x14ac:dyDescent="0.25">
      <c r="A101" s="1">
        <v>99</v>
      </c>
      <c r="B101" t="s">
        <v>59</v>
      </c>
      <c r="C101">
        <f>G101-E101-F101-H101</f>
        <v>17764.662725000002</v>
      </c>
      <c r="D101" t="s">
        <v>348</v>
      </c>
      <c r="E101">
        <v>16463</v>
      </c>
      <c r="F101">
        <v>23.459775</v>
      </c>
      <c r="G101">
        <v>34300</v>
      </c>
      <c r="H101">
        <v>48.877500000000012</v>
      </c>
      <c r="I101">
        <v>102.9</v>
      </c>
      <c r="AB101" t="s">
        <v>375</v>
      </c>
      <c r="AC101">
        <v>132724.611875</v>
      </c>
    </row>
    <row r="102" spans="1:29" x14ac:dyDescent="0.25">
      <c r="A102" s="1">
        <v>100</v>
      </c>
      <c r="B102" t="s">
        <v>120</v>
      </c>
      <c r="C102">
        <v>-6958.78</v>
      </c>
      <c r="D102" t="s">
        <v>356</v>
      </c>
      <c r="E102">
        <v>221190</v>
      </c>
      <c r="F102">
        <v>315.19575000000009</v>
      </c>
      <c r="G102">
        <v>215500</v>
      </c>
      <c r="H102">
        <v>307.08750000000009</v>
      </c>
      <c r="I102">
        <v>646.5</v>
      </c>
      <c r="AB102" t="s">
        <v>374</v>
      </c>
    </row>
    <row r="103" spans="1:29" x14ac:dyDescent="0.25">
      <c r="A103" s="1">
        <v>101</v>
      </c>
      <c r="B103" t="s">
        <v>121</v>
      </c>
      <c r="C103">
        <v>-3142.54</v>
      </c>
      <c r="D103" t="s">
        <v>345</v>
      </c>
      <c r="E103">
        <v>41612</v>
      </c>
      <c r="F103">
        <v>59.2971</v>
      </c>
      <c r="G103">
        <v>38700</v>
      </c>
      <c r="H103">
        <v>55.147500000000001</v>
      </c>
      <c r="I103">
        <v>116.1</v>
      </c>
      <c r="L103" t="s">
        <v>374</v>
      </c>
      <c r="AB103" t="s">
        <v>374</v>
      </c>
    </row>
    <row r="104" spans="1:29" x14ac:dyDescent="0.25">
      <c r="A104" s="1">
        <v>102</v>
      </c>
      <c r="B104" t="s">
        <v>122</v>
      </c>
      <c r="C104">
        <v>-328.99</v>
      </c>
      <c r="D104" t="s">
        <v>343</v>
      </c>
      <c r="E104">
        <v>6600</v>
      </c>
      <c r="F104">
        <v>20</v>
      </c>
      <c r="G104">
        <v>6330</v>
      </c>
      <c r="H104">
        <v>20</v>
      </c>
      <c r="I104">
        <v>18.989999999999998</v>
      </c>
      <c r="L104" t="s">
        <v>374</v>
      </c>
      <c r="AB104" t="s">
        <v>374</v>
      </c>
    </row>
    <row r="105" spans="1:29" x14ac:dyDescent="0.25">
      <c r="A105" s="1">
        <v>103</v>
      </c>
      <c r="B105" t="s">
        <v>123</v>
      </c>
      <c r="C105">
        <v>-1424.68</v>
      </c>
      <c r="D105" t="s">
        <v>342</v>
      </c>
      <c r="E105">
        <v>39996</v>
      </c>
      <c r="F105">
        <v>56.994300000000003</v>
      </c>
      <c r="G105">
        <v>38800</v>
      </c>
      <c r="H105">
        <v>55.29</v>
      </c>
      <c r="I105">
        <v>116.4</v>
      </c>
      <c r="L105" t="s">
        <v>374</v>
      </c>
      <c r="AB105" t="s">
        <v>374</v>
      </c>
    </row>
    <row r="106" spans="1:29" x14ac:dyDescent="0.25">
      <c r="A106" s="1">
        <v>104</v>
      </c>
      <c r="B106" t="s">
        <v>124</v>
      </c>
      <c r="C106">
        <v>-542.58000000000004</v>
      </c>
      <c r="D106" t="s">
        <v>360</v>
      </c>
      <c r="E106">
        <v>21866.5</v>
      </c>
      <c r="F106">
        <v>31.159762499999999</v>
      </c>
      <c r="G106">
        <v>21450</v>
      </c>
      <c r="H106">
        <v>30.56625</v>
      </c>
      <c r="I106">
        <v>64.349999999999994</v>
      </c>
      <c r="L106" t="s">
        <v>374</v>
      </c>
      <c r="AB106" t="s">
        <v>374</v>
      </c>
    </row>
    <row r="107" spans="1:29" x14ac:dyDescent="0.25">
      <c r="A107" s="1">
        <v>105</v>
      </c>
      <c r="B107" t="s">
        <v>125</v>
      </c>
      <c r="C107">
        <v>-523.5</v>
      </c>
      <c r="D107" t="s">
        <v>338</v>
      </c>
      <c r="E107">
        <v>10453.5</v>
      </c>
      <c r="F107">
        <v>20</v>
      </c>
      <c r="G107">
        <v>10000</v>
      </c>
      <c r="H107">
        <v>20</v>
      </c>
      <c r="I107">
        <v>30</v>
      </c>
      <c r="M107" t="s">
        <v>374</v>
      </c>
      <c r="AB107" t="s">
        <v>374</v>
      </c>
    </row>
    <row r="108" spans="1:29" x14ac:dyDescent="0.25">
      <c r="A108" s="1">
        <v>106</v>
      </c>
      <c r="B108" t="s">
        <v>126</v>
      </c>
      <c r="C108">
        <v>-76.599999999999994</v>
      </c>
      <c r="D108" t="s">
        <v>344</v>
      </c>
      <c r="E108">
        <v>12200</v>
      </c>
      <c r="F108">
        <v>20</v>
      </c>
      <c r="G108">
        <v>12200</v>
      </c>
      <c r="H108">
        <v>20</v>
      </c>
      <c r="I108">
        <v>36.6</v>
      </c>
      <c r="P108" t="s">
        <v>374</v>
      </c>
      <c r="AB108" t="s">
        <v>374</v>
      </c>
    </row>
    <row r="109" spans="1:29" x14ac:dyDescent="0.25">
      <c r="A109" s="1">
        <v>107</v>
      </c>
      <c r="B109" t="s">
        <v>127</v>
      </c>
      <c r="C109">
        <v>-12361.12</v>
      </c>
      <c r="D109" t="s">
        <v>344</v>
      </c>
      <c r="E109">
        <v>184830</v>
      </c>
      <c r="F109">
        <v>263.38274999999999</v>
      </c>
      <c r="G109">
        <v>173500</v>
      </c>
      <c r="H109">
        <v>247.23750000000001</v>
      </c>
      <c r="I109">
        <v>520.5</v>
      </c>
      <c r="AB109" t="s">
        <v>374</v>
      </c>
    </row>
    <row r="110" spans="1:29" x14ac:dyDescent="0.25">
      <c r="A110" s="1">
        <v>108</v>
      </c>
      <c r="B110" t="s">
        <v>128</v>
      </c>
      <c r="C110">
        <v>-4751.58</v>
      </c>
      <c r="D110" t="s">
        <v>344</v>
      </c>
      <c r="E110">
        <v>37900</v>
      </c>
      <c r="F110">
        <v>54.0075</v>
      </c>
      <c r="G110">
        <v>33350</v>
      </c>
      <c r="H110">
        <v>47.52375</v>
      </c>
      <c r="I110">
        <v>100.05</v>
      </c>
      <c r="O110" t="s">
        <v>374</v>
      </c>
      <c r="AB110" t="s">
        <v>374</v>
      </c>
    </row>
    <row r="111" spans="1:29" x14ac:dyDescent="0.25">
      <c r="A111" s="1">
        <v>109</v>
      </c>
      <c r="B111" t="s">
        <v>97</v>
      </c>
      <c r="C111">
        <v>-2061.71</v>
      </c>
      <c r="D111" t="s">
        <v>344</v>
      </c>
      <c r="E111">
        <v>29845.5</v>
      </c>
      <c r="F111">
        <v>42.529837499999999</v>
      </c>
      <c r="G111">
        <v>27950</v>
      </c>
      <c r="H111">
        <v>39.828749999999999</v>
      </c>
      <c r="I111">
        <v>83.850000000000023</v>
      </c>
      <c r="O111" t="s">
        <v>374</v>
      </c>
      <c r="AB111" t="s">
        <v>374</v>
      </c>
    </row>
    <row r="112" spans="1:29" x14ac:dyDescent="0.25">
      <c r="A112" s="1">
        <v>110</v>
      </c>
      <c r="B112" t="s">
        <v>129</v>
      </c>
      <c r="C112">
        <v>-223.75</v>
      </c>
      <c r="D112" t="s">
        <v>344</v>
      </c>
      <c r="E112">
        <v>11400</v>
      </c>
      <c r="F112">
        <v>20</v>
      </c>
      <c r="G112">
        <v>11250</v>
      </c>
      <c r="H112">
        <v>20</v>
      </c>
      <c r="I112">
        <v>33.75</v>
      </c>
      <c r="M112" t="s">
        <v>374</v>
      </c>
      <c r="AB112" t="s">
        <v>374</v>
      </c>
    </row>
    <row r="113" spans="1:29" x14ac:dyDescent="0.25">
      <c r="A113" s="1">
        <v>111</v>
      </c>
      <c r="B113" t="s">
        <v>44</v>
      </c>
      <c r="C113">
        <v>-1483.94</v>
      </c>
      <c r="D113" t="s">
        <v>338</v>
      </c>
      <c r="E113">
        <v>15400</v>
      </c>
      <c r="F113">
        <v>21.945</v>
      </c>
      <c r="G113">
        <v>14000</v>
      </c>
      <c r="H113">
        <v>20</v>
      </c>
      <c r="I113">
        <v>42</v>
      </c>
      <c r="J113" t="s">
        <v>374</v>
      </c>
      <c r="AB113" t="s">
        <v>374</v>
      </c>
    </row>
    <row r="114" spans="1:29" x14ac:dyDescent="0.25">
      <c r="A114" s="1">
        <v>112</v>
      </c>
      <c r="B114" t="s">
        <v>71</v>
      </c>
      <c r="C114">
        <v>457.16</v>
      </c>
      <c r="D114" t="s">
        <v>344</v>
      </c>
      <c r="E114">
        <v>58000</v>
      </c>
      <c r="F114">
        <v>82.65</v>
      </c>
      <c r="G114">
        <v>58800</v>
      </c>
      <c r="H114">
        <v>83.79</v>
      </c>
      <c r="I114">
        <v>176.4</v>
      </c>
      <c r="N114" t="s">
        <v>374</v>
      </c>
      <c r="AB114" t="s">
        <v>374</v>
      </c>
    </row>
    <row r="115" spans="1:29" x14ac:dyDescent="0.25">
      <c r="A115" s="1">
        <v>113</v>
      </c>
      <c r="B115" t="s">
        <v>130</v>
      </c>
      <c r="C115">
        <v>14245.49</v>
      </c>
      <c r="D115" t="s">
        <v>354</v>
      </c>
      <c r="E115">
        <v>24795.5</v>
      </c>
      <c r="F115">
        <v>35.3335875</v>
      </c>
      <c r="G115">
        <v>39250</v>
      </c>
      <c r="H115">
        <v>55.931249999999999</v>
      </c>
      <c r="I115">
        <v>117.75</v>
      </c>
      <c r="O115" t="s">
        <v>374</v>
      </c>
      <c r="AB115" t="s">
        <v>374</v>
      </c>
    </row>
    <row r="116" spans="1:29" x14ac:dyDescent="0.25">
      <c r="A116" s="1">
        <v>114</v>
      </c>
      <c r="B116" t="s">
        <v>131</v>
      </c>
      <c r="C116">
        <v>-2270.6</v>
      </c>
      <c r="D116" t="s">
        <v>338</v>
      </c>
      <c r="E116">
        <v>12400</v>
      </c>
      <c r="F116">
        <v>20</v>
      </c>
      <c r="G116">
        <v>10200</v>
      </c>
      <c r="H116">
        <v>20</v>
      </c>
      <c r="I116">
        <v>30.6</v>
      </c>
      <c r="M116" t="s">
        <v>374</v>
      </c>
      <c r="AB116" t="s">
        <v>374</v>
      </c>
    </row>
    <row r="117" spans="1:29" x14ac:dyDescent="0.25">
      <c r="A117" s="1">
        <v>115</v>
      </c>
      <c r="B117" t="s">
        <v>78</v>
      </c>
      <c r="C117">
        <v>-2808.54</v>
      </c>
      <c r="D117" t="s">
        <v>355</v>
      </c>
      <c r="E117">
        <v>395000</v>
      </c>
      <c r="F117">
        <v>562.875</v>
      </c>
      <c r="G117">
        <v>394500</v>
      </c>
      <c r="H117">
        <v>562.16250000000002</v>
      </c>
      <c r="I117">
        <v>1183.5</v>
      </c>
      <c r="AB117" t="s">
        <v>374</v>
      </c>
    </row>
    <row r="118" spans="1:29" x14ac:dyDescent="0.25">
      <c r="A118" s="1">
        <v>116</v>
      </c>
      <c r="B118" t="s">
        <v>132</v>
      </c>
      <c r="C118">
        <v>-1589.13</v>
      </c>
      <c r="D118" t="s">
        <v>338</v>
      </c>
      <c r="E118">
        <v>15604.5</v>
      </c>
      <c r="F118">
        <v>22.2364125</v>
      </c>
      <c r="G118">
        <v>14100</v>
      </c>
      <c r="H118">
        <v>20.092500000000001</v>
      </c>
      <c r="I118">
        <v>42.3</v>
      </c>
      <c r="O118" t="s">
        <v>374</v>
      </c>
      <c r="AB118" t="s">
        <v>374</v>
      </c>
    </row>
    <row r="119" spans="1:29" x14ac:dyDescent="0.25">
      <c r="A119" s="1">
        <v>117</v>
      </c>
      <c r="B119" t="s">
        <v>54</v>
      </c>
      <c r="C119">
        <v>4708.99</v>
      </c>
      <c r="D119" t="s">
        <v>356</v>
      </c>
      <c r="E119">
        <v>80000</v>
      </c>
      <c r="F119">
        <v>114</v>
      </c>
      <c r="G119">
        <v>85200</v>
      </c>
      <c r="H119">
        <v>121.41</v>
      </c>
      <c r="I119">
        <v>255.6</v>
      </c>
      <c r="J119" t="s">
        <v>374</v>
      </c>
      <c r="AB119" t="s">
        <v>374</v>
      </c>
    </row>
    <row r="120" spans="1:29" x14ac:dyDescent="0.25">
      <c r="A120" s="1">
        <v>118</v>
      </c>
      <c r="B120" t="s">
        <v>133</v>
      </c>
      <c r="C120">
        <v>-799.83</v>
      </c>
      <c r="D120" t="s">
        <v>345</v>
      </c>
      <c r="E120">
        <v>7350</v>
      </c>
      <c r="F120">
        <v>20</v>
      </c>
      <c r="G120">
        <v>6610</v>
      </c>
      <c r="H120">
        <v>20</v>
      </c>
      <c r="I120">
        <v>19.829999999999998</v>
      </c>
      <c r="M120" t="s">
        <v>374</v>
      </c>
      <c r="AB120" t="s">
        <v>374</v>
      </c>
    </row>
    <row r="121" spans="1:29" x14ac:dyDescent="0.25">
      <c r="A121" s="1">
        <v>119</v>
      </c>
      <c r="B121" t="s">
        <v>134</v>
      </c>
      <c r="C121">
        <v>-2114.4499999999998</v>
      </c>
      <c r="D121" t="s">
        <v>338</v>
      </c>
      <c r="E121">
        <v>39541.5</v>
      </c>
      <c r="F121">
        <v>56.3466375</v>
      </c>
      <c r="G121">
        <v>37650</v>
      </c>
      <c r="H121">
        <v>53.651250000000012</v>
      </c>
      <c r="I121">
        <v>112.95</v>
      </c>
      <c r="L121" t="s">
        <v>374</v>
      </c>
      <c r="AB121" t="s">
        <v>374</v>
      </c>
    </row>
    <row r="122" spans="1:29" x14ac:dyDescent="0.25">
      <c r="A122" s="1">
        <v>120</v>
      </c>
      <c r="B122" t="s">
        <v>135</v>
      </c>
      <c r="C122">
        <v>32101.48</v>
      </c>
      <c r="D122" t="s">
        <v>342</v>
      </c>
      <c r="E122">
        <v>469000</v>
      </c>
      <c r="F122">
        <v>668.32500000000005</v>
      </c>
      <c r="G122">
        <v>504000</v>
      </c>
      <c r="H122">
        <v>718.2</v>
      </c>
      <c r="I122">
        <v>1512</v>
      </c>
      <c r="AB122" t="s">
        <v>374</v>
      </c>
    </row>
    <row r="123" spans="1:29" x14ac:dyDescent="0.25">
      <c r="A123" s="1">
        <v>121</v>
      </c>
      <c r="B123" t="s">
        <v>136</v>
      </c>
      <c r="C123">
        <v>-120</v>
      </c>
      <c r="D123" t="s">
        <v>344</v>
      </c>
      <c r="E123">
        <v>10050</v>
      </c>
      <c r="F123">
        <v>20</v>
      </c>
      <c r="G123">
        <v>10000</v>
      </c>
      <c r="H123">
        <v>20</v>
      </c>
      <c r="I123">
        <v>30</v>
      </c>
      <c r="L123" t="s">
        <v>374</v>
      </c>
      <c r="AB123" t="s">
        <v>374</v>
      </c>
    </row>
    <row r="124" spans="1:29" x14ac:dyDescent="0.25">
      <c r="A124" s="1">
        <v>122</v>
      </c>
      <c r="B124" t="s">
        <v>137</v>
      </c>
      <c r="C124">
        <v>-580.5</v>
      </c>
      <c r="D124" t="s">
        <v>337</v>
      </c>
      <c r="E124">
        <v>14000</v>
      </c>
      <c r="F124">
        <v>20</v>
      </c>
      <c r="G124">
        <v>13500</v>
      </c>
      <c r="H124">
        <v>20</v>
      </c>
      <c r="I124">
        <v>40.5</v>
      </c>
      <c r="L124" t="s">
        <v>374</v>
      </c>
      <c r="AB124" t="s">
        <v>374</v>
      </c>
    </row>
    <row r="125" spans="1:29" x14ac:dyDescent="0.25">
      <c r="A125" s="1">
        <v>123</v>
      </c>
      <c r="B125" t="s">
        <v>138</v>
      </c>
      <c r="C125">
        <v>-3051.71</v>
      </c>
      <c r="D125" t="s">
        <v>344</v>
      </c>
      <c r="E125">
        <v>42167.5</v>
      </c>
      <c r="F125">
        <v>60.088687499999999</v>
      </c>
      <c r="G125">
        <v>39350</v>
      </c>
      <c r="H125">
        <v>56.073749999999997</v>
      </c>
      <c r="I125">
        <v>118.05</v>
      </c>
      <c r="L125" t="s">
        <v>374</v>
      </c>
      <c r="AB125" t="s">
        <v>374</v>
      </c>
    </row>
    <row r="126" spans="1:29" x14ac:dyDescent="0.25">
      <c r="A126" s="1">
        <v>124</v>
      </c>
      <c r="B126" t="s">
        <v>139</v>
      </c>
      <c r="C126">
        <f>G126-E126-F126-H126</f>
        <v>321.519025</v>
      </c>
      <c r="D126" t="s">
        <v>343</v>
      </c>
      <c r="E126">
        <v>17877</v>
      </c>
      <c r="F126">
        <v>25.474724999999999</v>
      </c>
      <c r="G126">
        <v>18250</v>
      </c>
      <c r="H126">
        <v>26.006250000000001</v>
      </c>
      <c r="I126">
        <v>54.75</v>
      </c>
      <c r="AB126" t="s">
        <v>375</v>
      </c>
      <c r="AC126">
        <v>-111929.6084</v>
      </c>
    </row>
    <row r="127" spans="1:29" x14ac:dyDescent="0.25">
      <c r="A127" s="1">
        <v>125</v>
      </c>
      <c r="B127" t="s">
        <v>140</v>
      </c>
      <c r="C127">
        <v>5086.78</v>
      </c>
      <c r="D127" t="s">
        <v>339</v>
      </c>
      <c r="E127">
        <v>15251</v>
      </c>
      <c r="F127">
        <v>21.732675</v>
      </c>
      <c r="G127">
        <v>20450</v>
      </c>
      <c r="H127">
        <v>29.141249999999999</v>
      </c>
      <c r="I127">
        <v>61.35</v>
      </c>
      <c r="L127" t="s">
        <v>374</v>
      </c>
      <c r="AB127" t="s">
        <v>374</v>
      </c>
    </row>
    <row r="128" spans="1:29" x14ac:dyDescent="0.25">
      <c r="A128" s="1">
        <v>126</v>
      </c>
      <c r="B128" t="s">
        <v>141</v>
      </c>
      <c r="C128">
        <v>-525.84</v>
      </c>
      <c r="D128" t="s">
        <v>337</v>
      </c>
      <c r="E128">
        <v>71508</v>
      </c>
      <c r="F128">
        <v>101.8989</v>
      </c>
      <c r="G128">
        <v>71400</v>
      </c>
      <c r="H128">
        <v>101.745</v>
      </c>
      <c r="I128">
        <v>214.2</v>
      </c>
      <c r="L128" t="s">
        <v>374</v>
      </c>
      <c r="AB128" t="s">
        <v>374</v>
      </c>
    </row>
    <row r="129" spans="1:29" x14ac:dyDescent="0.25">
      <c r="A129" s="1">
        <v>127</v>
      </c>
      <c r="B129" t="s">
        <v>142</v>
      </c>
      <c r="C129">
        <v>-772.23</v>
      </c>
      <c r="D129" t="s">
        <v>337</v>
      </c>
      <c r="E129">
        <v>8119.99999999999</v>
      </c>
      <c r="F129">
        <v>20</v>
      </c>
      <c r="G129">
        <v>7410</v>
      </c>
      <c r="H129">
        <v>20</v>
      </c>
      <c r="I129">
        <v>22.23</v>
      </c>
      <c r="L129" t="s">
        <v>374</v>
      </c>
      <c r="AB129" t="s">
        <v>374</v>
      </c>
    </row>
    <row r="130" spans="1:29" x14ac:dyDescent="0.25">
      <c r="A130" s="1">
        <v>128</v>
      </c>
      <c r="B130" t="s">
        <v>143</v>
      </c>
      <c r="C130">
        <v>-4862.72</v>
      </c>
      <c r="D130" t="s">
        <v>344</v>
      </c>
      <c r="E130">
        <v>150500</v>
      </c>
      <c r="F130">
        <v>214.46250000000001</v>
      </c>
      <c r="G130">
        <v>146500</v>
      </c>
      <c r="H130">
        <v>208.76249999999999</v>
      </c>
      <c r="I130">
        <v>439.5</v>
      </c>
      <c r="AB130" t="s">
        <v>374</v>
      </c>
    </row>
    <row r="131" spans="1:29" x14ac:dyDescent="0.25">
      <c r="A131" s="1">
        <v>129</v>
      </c>
      <c r="B131" t="s">
        <v>144</v>
      </c>
      <c r="C131">
        <v>-1913.37</v>
      </c>
      <c r="D131" t="s">
        <v>344</v>
      </c>
      <c r="E131">
        <v>29250</v>
      </c>
      <c r="F131">
        <v>41.681249999999999</v>
      </c>
      <c r="G131">
        <v>27500</v>
      </c>
      <c r="H131">
        <v>39.1875</v>
      </c>
      <c r="I131">
        <v>82.5</v>
      </c>
      <c r="O131" t="s">
        <v>374</v>
      </c>
      <c r="AB131" t="s">
        <v>374</v>
      </c>
    </row>
    <row r="132" spans="1:29" x14ac:dyDescent="0.25">
      <c r="A132" s="1">
        <v>130</v>
      </c>
      <c r="B132" t="s">
        <v>119</v>
      </c>
      <c r="C132">
        <v>11942.64</v>
      </c>
      <c r="D132" t="s">
        <v>364</v>
      </c>
      <c r="E132">
        <v>69993</v>
      </c>
      <c r="F132">
        <v>99.740025000000003</v>
      </c>
      <c r="G132">
        <v>82400</v>
      </c>
      <c r="H132">
        <v>117.42</v>
      </c>
      <c r="I132">
        <v>247.2</v>
      </c>
      <c r="L132" t="s">
        <v>374</v>
      </c>
      <c r="AB132" t="s">
        <v>374</v>
      </c>
    </row>
    <row r="133" spans="1:29" x14ac:dyDescent="0.25">
      <c r="A133" s="1">
        <v>131</v>
      </c>
      <c r="B133" t="s">
        <v>145</v>
      </c>
      <c r="C133">
        <v>-345.22</v>
      </c>
      <c r="D133" t="s">
        <v>344</v>
      </c>
      <c r="E133">
        <v>37824.5</v>
      </c>
      <c r="F133">
        <v>53.899912499999999</v>
      </c>
      <c r="G133">
        <v>37700</v>
      </c>
      <c r="H133">
        <v>53.722499999999997</v>
      </c>
      <c r="I133">
        <v>113.1</v>
      </c>
      <c r="N133" t="s">
        <v>374</v>
      </c>
      <c r="AB133" t="s">
        <v>374</v>
      </c>
    </row>
    <row r="134" spans="1:29" x14ac:dyDescent="0.25">
      <c r="A134" s="1">
        <v>132</v>
      </c>
      <c r="B134" t="s">
        <v>100</v>
      </c>
      <c r="C134">
        <v>10764.66</v>
      </c>
      <c r="D134" t="s">
        <v>353</v>
      </c>
      <c r="E134">
        <v>117000</v>
      </c>
      <c r="F134">
        <v>166.72499999999999</v>
      </c>
      <c r="G134">
        <v>128500</v>
      </c>
      <c r="H134">
        <v>183.11250000000001</v>
      </c>
      <c r="I134">
        <v>385.5</v>
      </c>
      <c r="O134" t="s">
        <v>374</v>
      </c>
      <c r="AB134" t="s">
        <v>374</v>
      </c>
    </row>
    <row r="135" spans="1:29" x14ac:dyDescent="0.25">
      <c r="A135" s="1">
        <v>133</v>
      </c>
      <c r="B135" t="s">
        <v>146</v>
      </c>
      <c r="C135">
        <v>-4045.04</v>
      </c>
      <c r="D135" t="s">
        <v>344</v>
      </c>
      <c r="E135">
        <v>266000</v>
      </c>
      <c r="F135">
        <v>379.05</v>
      </c>
      <c r="G135">
        <v>263500</v>
      </c>
      <c r="H135">
        <v>375.48750000000001</v>
      </c>
      <c r="I135">
        <v>790.5</v>
      </c>
      <c r="AB135" t="s">
        <v>374</v>
      </c>
    </row>
    <row r="136" spans="1:29" x14ac:dyDescent="0.25">
      <c r="A136" s="1">
        <v>134</v>
      </c>
      <c r="B136" t="s">
        <v>147</v>
      </c>
      <c r="C136">
        <v>-11710.75</v>
      </c>
      <c r="D136" t="s">
        <v>344</v>
      </c>
      <c r="E136">
        <v>300000</v>
      </c>
      <c r="F136">
        <v>427.5</v>
      </c>
      <c r="G136">
        <v>290000</v>
      </c>
      <c r="H136">
        <v>413.25</v>
      </c>
      <c r="I136">
        <v>870</v>
      </c>
      <c r="AB136" t="s">
        <v>374</v>
      </c>
    </row>
    <row r="137" spans="1:29" x14ac:dyDescent="0.25">
      <c r="A137" s="1">
        <v>135</v>
      </c>
      <c r="B137" t="s">
        <v>148</v>
      </c>
      <c r="C137">
        <v>-67.06</v>
      </c>
      <c r="D137" t="s">
        <v>344</v>
      </c>
      <c r="E137">
        <v>45500</v>
      </c>
      <c r="F137">
        <v>64.837500000000006</v>
      </c>
      <c r="G137">
        <v>45700</v>
      </c>
      <c r="H137">
        <v>65.122500000000002</v>
      </c>
      <c r="I137">
        <v>137.1</v>
      </c>
      <c r="P137" t="s">
        <v>374</v>
      </c>
      <c r="AB137" t="s">
        <v>374</v>
      </c>
    </row>
    <row r="138" spans="1:29" x14ac:dyDescent="0.25">
      <c r="A138" s="1">
        <v>136</v>
      </c>
      <c r="B138" t="s">
        <v>98</v>
      </c>
      <c r="C138">
        <v>-5066.2700000000004</v>
      </c>
      <c r="D138" t="s">
        <v>345</v>
      </c>
      <c r="E138">
        <v>37319.5</v>
      </c>
      <c r="F138">
        <v>53.180287500000013</v>
      </c>
      <c r="G138">
        <v>32450</v>
      </c>
      <c r="H138">
        <v>46.241250000000008</v>
      </c>
      <c r="I138">
        <v>97.35</v>
      </c>
      <c r="L138" t="s">
        <v>374</v>
      </c>
      <c r="AB138" t="s">
        <v>374</v>
      </c>
    </row>
    <row r="139" spans="1:29" x14ac:dyDescent="0.25">
      <c r="A139" s="1">
        <v>137</v>
      </c>
      <c r="B139" t="s">
        <v>106</v>
      </c>
      <c r="C139">
        <v>-9928.35</v>
      </c>
      <c r="D139" t="s">
        <v>338</v>
      </c>
      <c r="E139">
        <v>165500</v>
      </c>
      <c r="F139">
        <v>235.83750000000001</v>
      </c>
      <c r="G139">
        <v>156500</v>
      </c>
      <c r="H139">
        <v>223.01249999999999</v>
      </c>
      <c r="I139">
        <v>469.5</v>
      </c>
      <c r="J139" t="s">
        <v>374</v>
      </c>
      <c r="AB139" t="s">
        <v>374</v>
      </c>
    </row>
    <row r="140" spans="1:29" x14ac:dyDescent="0.25">
      <c r="A140" s="1">
        <v>138</v>
      </c>
      <c r="B140" t="s">
        <v>149</v>
      </c>
      <c r="C140">
        <v>-3593.8</v>
      </c>
      <c r="D140" t="s">
        <v>344</v>
      </c>
      <c r="E140">
        <v>35700</v>
      </c>
      <c r="F140">
        <v>50.872500000000002</v>
      </c>
      <c r="G140">
        <v>32300</v>
      </c>
      <c r="H140">
        <v>46.027500000000003</v>
      </c>
      <c r="I140">
        <v>96.9</v>
      </c>
      <c r="M140" t="s">
        <v>374</v>
      </c>
      <c r="AB140" t="s">
        <v>374</v>
      </c>
    </row>
    <row r="141" spans="1:29" x14ac:dyDescent="0.25">
      <c r="A141" s="1">
        <v>139</v>
      </c>
      <c r="B141" t="s">
        <v>110</v>
      </c>
      <c r="C141">
        <f>G141-E141-F141-H141</f>
        <v>-9818.7024999999994</v>
      </c>
      <c r="D141" t="s">
        <v>340</v>
      </c>
      <c r="E141">
        <v>49700</v>
      </c>
      <c r="F141">
        <v>61.702500000000001</v>
      </c>
      <c r="G141">
        <v>40000</v>
      </c>
      <c r="H141">
        <v>57</v>
      </c>
      <c r="I141">
        <v>120</v>
      </c>
      <c r="AB141" t="s">
        <v>375</v>
      </c>
      <c r="AC141">
        <v>-62167.905899999998</v>
      </c>
    </row>
    <row r="142" spans="1:29" x14ac:dyDescent="0.25">
      <c r="A142" s="1">
        <v>140</v>
      </c>
      <c r="B142" t="s">
        <v>134</v>
      </c>
      <c r="C142">
        <v>-7334.7</v>
      </c>
      <c r="D142" t="s">
        <v>338</v>
      </c>
      <c r="E142">
        <v>54000</v>
      </c>
      <c r="F142">
        <v>76.95</v>
      </c>
      <c r="G142">
        <v>46950</v>
      </c>
      <c r="H142">
        <v>66.903750000000002</v>
      </c>
      <c r="I142">
        <v>140.85</v>
      </c>
      <c r="O142" t="s">
        <v>374</v>
      </c>
      <c r="AB142" t="s">
        <v>374</v>
      </c>
    </row>
    <row r="143" spans="1:29" x14ac:dyDescent="0.25">
      <c r="A143" s="1">
        <v>141</v>
      </c>
      <c r="B143" t="s">
        <v>150</v>
      </c>
      <c r="C143">
        <v>11284.85</v>
      </c>
      <c r="D143" t="s">
        <v>343</v>
      </c>
      <c r="E143">
        <v>232300</v>
      </c>
      <c r="F143">
        <v>331.02750000000009</v>
      </c>
      <c r="G143">
        <v>245000</v>
      </c>
      <c r="H143">
        <v>349.125</v>
      </c>
      <c r="I143">
        <v>735</v>
      </c>
      <c r="AB143" t="s">
        <v>374</v>
      </c>
    </row>
    <row r="144" spans="1:29" x14ac:dyDescent="0.25">
      <c r="A144" s="1">
        <v>142</v>
      </c>
      <c r="B144" t="s">
        <v>151</v>
      </c>
      <c r="C144">
        <v>-4893.0200000000004</v>
      </c>
      <c r="D144" t="s">
        <v>337</v>
      </c>
      <c r="E144">
        <v>36550</v>
      </c>
      <c r="F144">
        <v>52.083750000000002</v>
      </c>
      <c r="G144">
        <v>31850</v>
      </c>
      <c r="H144">
        <v>45.386249999999997</v>
      </c>
      <c r="I144">
        <v>95.55</v>
      </c>
      <c r="L144" t="s">
        <v>374</v>
      </c>
      <c r="AB144" t="s">
        <v>374</v>
      </c>
    </row>
    <row r="145" spans="1:29" x14ac:dyDescent="0.25">
      <c r="A145" s="1">
        <v>143</v>
      </c>
      <c r="B145" t="s">
        <v>152</v>
      </c>
      <c r="C145">
        <v>-12253.22</v>
      </c>
      <c r="D145" t="s">
        <v>337</v>
      </c>
      <c r="E145">
        <v>86400</v>
      </c>
      <c r="F145">
        <v>123.12</v>
      </c>
      <c r="G145">
        <v>74600</v>
      </c>
      <c r="H145">
        <v>106.30500000000001</v>
      </c>
      <c r="I145">
        <v>223.8</v>
      </c>
      <c r="L145" t="s">
        <v>374</v>
      </c>
      <c r="AB145" t="s">
        <v>374</v>
      </c>
    </row>
    <row r="146" spans="1:29" x14ac:dyDescent="0.25">
      <c r="A146" s="1">
        <v>144</v>
      </c>
      <c r="B146" t="s">
        <v>153</v>
      </c>
      <c r="C146">
        <v>2227.3000000000002</v>
      </c>
      <c r="D146" t="s">
        <v>341</v>
      </c>
      <c r="E146">
        <v>300000</v>
      </c>
      <c r="F146">
        <v>427.5</v>
      </c>
      <c r="G146">
        <v>304000</v>
      </c>
      <c r="H146">
        <v>433.2</v>
      </c>
      <c r="I146">
        <v>912</v>
      </c>
      <c r="AB146" t="s">
        <v>374</v>
      </c>
    </row>
    <row r="147" spans="1:29" x14ac:dyDescent="0.25">
      <c r="A147" s="1">
        <v>145</v>
      </c>
      <c r="B147" t="s">
        <v>154</v>
      </c>
      <c r="C147">
        <v>-1424.51</v>
      </c>
      <c r="D147" t="s">
        <v>344</v>
      </c>
      <c r="E147">
        <v>24900</v>
      </c>
      <c r="F147">
        <v>34.398074999999999</v>
      </c>
      <c r="G147">
        <v>22850</v>
      </c>
      <c r="H147">
        <v>32.561250000000001</v>
      </c>
      <c r="I147">
        <v>68.55</v>
      </c>
      <c r="AB147" t="s">
        <v>374</v>
      </c>
    </row>
    <row r="148" spans="1:29" x14ac:dyDescent="0.25">
      <c r="A148" s="1">
        <v>146</v>
      </c>
      <c r="B148" t="s">
        <v>155</v>
      </c>
      <c r="C148">
        <v>-3907.79</v>
      </c>
      <c r="D148" t="s">
        <v>340</v>
      </c>
      <c r="E148">
        <v>21300</v>
      </c>
      <c r="F148">
        <v>30.35250000000001</v>
      </c>
      <c r="G148">
        <v>17500</v>
      </c>
      <c r="H148">
        <v>24.9375</v>
      </c>
      <c r="I148">
        <v>52.5</v>
      </c>
      <c r="O148" t="s">
        <v>374</v>
      </c>
      <c r="AB148" t="s">
        <v>374</v>
      </c>
    </row>
    <row r="149" spans="1:29" x14ac:dyDescent="0.25">
      <c r="A149" s="1">
        <v>147</v>
      </c>
      <c r="B149" t="s">
        <v>156</v>
      </c>
      <c r="C149">
        <v>-1592.3</v>
      </c>
      <c r="D149" t="s">
        <v>345</v>
      </c>
      <c r="E149">
        <v>15806.5</v>
      </c>
      <c r="F149">
        <v>22.52426250000001</v>
      </c>
      <c r="G149">
        <v>14300</v>
      </c>
      <c r="H149">
        <v>20.377500000000001</v>
      </c>
      <c r="I149">
        <v>42.9</v>
      </c>
      <c r="L149" t="s">
        <v>374</v>
      </c>
      <c r="AB149" t="s">
        <v>374</v>
      </c>
    </row>
    <row r="150" spans="1:29" x14ac:dyDescent="0.25">
      <c r="A150" s="1">
        <v>148</v>
      </c>
      <c r="B150" t="s">
        <v>71</v>
      </c>
      <c r="C150">
        <v>-15683.81</v>
      </c>
      <c r="D150" t="s">
        <v>345</v>
      </c>
      <c r="E150">
        <v>94200</v>
      </c>
      <c r="F150">
        <v>134.23500000000001</v>
      </c>
      <c r="G150">
        <v>79000</v>
      </c>
      <c r="H150">
        <v>112.575</v>
      </c>
      <c r="I150">
        <v>237</v>
      </c>
      <c r="P150" t="s">
        <v>374</v>
      </c>
      <c r="AB150" t="s">
        <v>374</v>
      </c>
    </row>
    <row r="151" spans="1:29" x14ac:dyDescent="0.25">
      <c r="A151" s="1">
        <v>149</v>
      </c>
      <c r="B151" t="s">
        <v>157</v>
      </c>
      <c r="C151">
        <f>G151-E151-F151-H151</f>
        <v>1940.7841624999999</v>
      </c>
      <c r="D151" t="s">
        <v>337</v>
      </c>
      <c r="E151">
        <v>31865.5</v>
      </c>
      <c r="F151">
        <v>45.408337500000002</v>
      </c>
      <c r="G151">
        <v>33900</v>
      </c>
      <c r="H151">
        <v>48.307500000000012</v>
      </c>
      <c r="I151">
        <v>101.7</v>
      </c>
      <c r="AB151" t="s">
        <v>375</v>
      </c>
      <c r="AC151">
        <v>-30256.997562500001</v>
      </c>
    </row>
    <row r="152" spans="1:29" x14ac:dyDescent="0.25">
      <c r="A152" s="1">
        <v>150</v>
      </c>
      <c r="B152" t="s">
        <v>158</v>
      </c>
      <c r="C152">
        <v>-79.45</v>
      </c>
      <c r="D152" t="s">
        <v>338</v>
      </c>
      <c r="E152">
        <v>13150</v>
      </c>
      <c r="F152">
        <v>20</v>
      </c>
      <c r="G152">
        <v>13150</v>
      </c>
      <c r="H152">
        <v>20</v>
      </c>
      <c r="I152">
        <v>39.450000000000003</v>
      </c>
      <c r="O152" t="s">
        <v>374</v>
      </c>
      <c r="AB152" t="s">
        <v>374</v>
      </c>
    </row>
    <row r="153" spans="1:29" x14ac:dyDescent="0.25">
      <c r="A153" s="1">
        <v>151</v>
      </c>
      <c r="B153" t="s">
        <v>159</v>
      </c>
      <c r="C153">
        <v>-1304.7</v>
      </c>
      <c r="D153" t="s">
        <v>344</v>
      </c>
      <c r="E153">
        <v>6150</v>
      </c>
      <c r="F153">
        <v>20</v>
      </c>
      <c r="G153">
        <v>4900</v>
      </c>
      <c r="H153">
        <v>20</v>
      </c>
      <c r="I153">
        <v>14.7</v>
      </c>
      <c r="O153" t="s">
        <v>374</v>
      </c>
      <c r="AB153" t="s">
        <v>374</v>
      </c>
    </row>
    <row r="154" spans="1:29" x14ac:dyDescent="0.25">
      <c r="A154" s="1">
        <v>152</v>
      </c>
      <c r="B154" t="s">
        <v>160</v>
      </c>
      <c r="C154">
        <v>-328.65</v>
      </c>
      <c r="D154" t="s">
        <v>344</v>
      </c>
      <c r="E154">
        <v>9810</v>
      </c>
      <c r="F154">
        <v>20</v>
      </c>
      <c r="G154">
        <v>9550</v>
      </c>
      <c r="H154">
        <v>20</v>
      </c>
      <c r="I154">
        <v>28.65</v>
      </c>
      <c r="N154" t="s">
        <v>374</v>
      </c>
      <c r="AB154" t="s">
        <v>374</v>
      </c>
    </row>
    <row r="155" spans="1:29" x14ac:dyDescent="0.25">
      <c r="A155" s="1">
        <v>153</v>
      </c>
      <c r="B155" t="s">
        <v>51</v>
      </c>
      <c r="C155">
        <v>-4935.1899999999996</v>
      </c>
      <c r="D155" t="s">
        <v>340</v>
      </c>
      <c r="E155">
        <v>35250</v>
      </c>
      <c r="F155">
        <v>50.231250000000003</v>
      </c>
      <c r="G155">
        <v>30500</v>
      </c>
      <c r="H155">
        <v>43.462499999999999</v>
      </c>
      <c r="I155">
        <v>91.5</v>
      </c>
      <c r="J155" t="s">
        <v>374</v>
      </c>
      <c r="AB155" t="s">
        <v>374</v>
      </c>
    </row>
    <row r="156" spans="1:29" x14ac:dyDescent="0.25">
      <c r="A156" s="1">
        <v>154</v>
      </c>
      <c r="B156" t="s">
        <v>161</v>
      </c>
      <c r="C156">
        <v>5010.8</v>
      </c>
      <c r="D156" t="s">
        <v>365</v>
      </c>
      <c r="E156">
        <v>19900</v>
      </c>
      <c r="F156">
        <v>28.357500000000002</v>
      </c>
      <c r="G156">
        <v>25050</v>
      </c>
      <c r="H156">
        <v>35.696249999999999</v>
      </c>
      <c r="I156">
        <v>75.150000000000006</v>
      </c>
      <c r="L156" t="s">
        <v>374</v>
      </c>
      <c r="AB156" t="s">
        <v>374</v>
      </c>
    </row>
    <row r="157" spans="1:29" x14ac:dyDescent="0.25">
      <c r="A157" s="1">
        <v>155</v>
      </c>
      <c r="B157" t="s">
        <v>162</v>
      </c>
      <c r="C157">
        <v>-5944.94</v>
      </c>
      <c r="D157" t="s">
        <v>338</v>
      </c>
      <c r="E157">
        <v>63200</v>
      </c>
      <c r="F157">
        <v>90.06</v>
      </c>
      <c r="G157">
        <v>57600</v>
      </c>
      <c r="H157">
        <v>82.08</v>
      </c>
      <c r="I157">
        <v>172.8</v>
      </c>
      <c r="L157" t="s">
        <v>374</v>
      </c>
      <c r="AB157" t="s">
        <v>374</v>
      </c>
    </row>
    <row r="158" spans="1:29" x14ac:dyDescent="0.25">
      <c r="A158" s="1">
        <v>156</v>
      </c>
      <c r="B158" t="s">
        <v>163</v>
      </c>
      <c r="C158">
        <v>278.60000000000002</v>
      </c>
      <c r="D158" t="s">
        <v>354</v>
      </c>
      <c r="E158">
        <v>3470</v>
      </c>
      <c r="F158">
        <v>20</v>
      </c>
      <c r="G158">
        <v>3800</v>
      </c>
      <c r="H158">
        <v>20</v>
      </c>
      <c r="I158">
        <v>11.4</v>
      </c>
      <c r="O158" t="s">
        <v>374</v>
      </c>
      <c r="AB158" t="s">
        <v>374</v>
      </c>
    </row>
    <row r="159" spans="1:29" x14ac:dyDescent="0.25">
      <c r="A159" s="1">
        <v>157</v>
      </c>
      <c r="B159" t="s">
        <v>164</v>
      </c>
      <c r="C159">
        <v>-6150.63</v>
      </c>
      <c r="D159" t="s">
        <v>341</v>
      </c>
      <c r="E159">
        <v>81002</v>
      </c>
      <c r="F159">
        <v>115.42785000000001</v>
      </c>
      <c r="G159">
        <v>75300</v>
      </c>
      <c r="H159">
        <v>107.30249999999999</v>
      </c>
      <c r="I159">
        <v>225.9</v>
      </c>
      <c r="R159" t="s">
        <v>374</v>
      </c>
      <c r="AB159" t="s">
        <v>374</v>
      </c>
    </row>
    <row r="160" spans="1:29" x14ac:dyDescent="0.25">
      <c r="A160" s="1">
        <v>158</v>
      </c>
      <c r="B160" t="s">
        <v>165</v>
      </c>
      <c r="C160">
        <v>6383.28</v>
      </c>
      <c r="D160" t="s">
        <v>339</v>
      </c>
      <c r="E160">
        <v>78300</v>
      </c>
      <c r="F160">
        <v>98.300775000000002</v>
      </c>
      <c r="G160">
        <v>75800</v>
      </c>
      <c r="H160">
        <v>108.015</v>
      </c>
      <c r="I160">
        <v>227.4</v>
      </c>
      <c r="AB160" t="s">
        <v>374</v>
      </c>
    </row>
    <row r="161" spans="1:29" x14ac:dyDescent="0.25">
      <c r="A161" s="1">
        <v>159</v>
      </c>
      <c r="B161" t="s">
        <v>166</v>
      </c>
      <c r="C161">
        <v>1101.1300000000001</v>
      </c>
      <c r="D161" t="s">
        <v>363</v>
      </c>
      <c r="E161">
        <v>31310</v>
      </c>
      <c r="F161">
        <v>44.616750000000003</v>
      </c>
      <c r="G161">
        <v>32600</v>
      </c>
      <c r="H161">
        <v>46.454999999999998</v>
      </c>
      <c r="I161">
        <v>97.8</v>
      </c>
      <c r="J161" t="s">
        <v>374</v>
      </c>
      <c r="AB161" t="s">
        <v>374</v>
      </c>
    </row>
    <row r="162" spans="1:29" x14ac:dyDescent="0.25">
      <c r="A162" s="1">
        <v>160</v>
      </c>
      <c r="B162" t="s">
        <v>167</v>
      </c>
      <c r="C162">
        <v>-3866.03</v>
      </c>
      <c r="D162" t="s">
        <v>366</v>
      </c>
      <c r="E162">
        <v>36966</v>
      </c>
      <c r="F162">
        <v>52.676549999999999</v>
      </c>
      <c r="G162">
        <v>33300</v>
      </c>
      <c r="H162">
        <v>47.452500000000001</v>
      </c>
      <c r="I162">
        <v>99.9</v>
      </c>
      <c r="J162" t="s">
        <v>374</v>
      </c>
      <c r="AB162" t="s">
        <v>374</v>
      </c>
    </row>
    <row r="163" spans="1:29" x14ac:dyDescent="0.25">
      <c r="A163" s="1">
        <v>161</v>
      </c>
      <c r="B163" t="s">
        <v>168</v>
      </c>
      <c r="C163">
        <v>-10393.950000000001</v>
      </c>
      <c r="D163" t="s">
        <v>366</v>
      </c>
      <c r="E163">
        <v>59590</v>
      </c>
      <c r="F163">
        <v>84.915750000000003</v>
      </c>
      <c r="G163">
        <v>49500</v>
      </c>
      <c r="H163">
        <v>70.537500000000023</v>
      </c>
      <c r="I163">
        <v>148.5</v>
      </c>
      <c r="J163" t="s">
        <v>374</v>
      </c>
      <c r="AB163" t="s">
        <v>374</v>
      </c>
    </row>
    <row r="164" spans="1:29" x14ac:dyDescent="0.25">
      <c r="A164" s="1">
        <v>162</v>
      </c>
      <c r="B164" t="s">
        <v>169</v>
      </c>
      <c r="C164">
        <v>-455.47</v>
      </c>
      <c r="D164" t="s">
        <v>337</v>
      </c>
      <c r="E164">
        <v>4393.49999999999</v>
      </c>
      <c r="F164">
        <v>20</v>
      </c>
      <c r="G164">
        <v>3990</v>
      </c>
      <c r="H164">
        <v>20</v>
      </c>
      <c r="I164">
        <v>11.97</v>
      </c>
      <c r="O164" t="s">
        <v>374</v>
      </c>
      <c r="AB164" t="s">
        <v>374</v>
      </c>
    </row>
    <row r="165" spans="1:29" x14ac:dyDescent="0.25">
      <c r="A165" s="1">
        <v>163</v>
      </c>
      <c r="B165" t="s">
        <v>170</v>
      </c>
      <c r="C165">
        <f>G165-E165-F165-H165</f>
        <v>3183.9394750000001</v>
      </c>
      <c r="D165" t="s">
        <v>356</v>
      </c>
      <c r="E165">
        <v>20503</v>
      </c>
      <c r="F165">
        <v>29.216774999999998</v>
      </c>
      <c r="G165">
        <v>23750</v>
      </c>
      <c r="H165">
        <v>33.84375</v>
      </c>
      <c r="I165">
        <v>71.25</v>
      </c>
      <c r="AB165" t="s">
        <v>375</v>
      </c>
      <c r="AC165">
        <v>-68232.537037499991</v>
      </c>
    </row>
    <row r="166" spans="1:29" x14ac:dyDescent="0.25">
      <c r="A166" s="1">
        <v>164</v>
      </c>
      <c r="B166" t="s">
        <v>171</v>
      </c>
      <c r="C166">
        <v>785.97</v>
      </c>
      <c r="D166" t="s">
        <v>353</v>
      </c>
      <c r="E166">
        <v>16513.5</v>
      </c>
      <c r="F166">
        <v>23.531737499999998</v>
      </c>
      <c r="G166">
        <v>17400</v>
      </c>
      <c r="H166">
        <v>24.795000000000002</v>
      </c>
      <c r="I166">
        <v>52.2</v>
      </c>
      <c r="M166" t="s">
        <v>374</v>
      </c>
      <c r="AB166" t="s">
        <v>374</v>
      </c>
    </row>
    <row r="167" spans="1:29" x14ac:dyDescent="0.25">
      <c r="A167" s="1">
        <v>165</v>
      </c>
      <c r="B167" t="s">
        <v>172</v>
      </c>
      <c r="C167">
        <v>-21166.86</v>
      </c>
      <c r="D167" t="s">
        <v>337</v>
      </c>
      <c r="E167">
        <v>129500</v>
      </c>
      <c r="F167">
        <v>184.53749999999999</v>
      </c>
      <c r="G167">
        <v>109000</v>
      </c>
      <c r="H167">
        <v>155.32499999999999</v>
      </c>
      <c r="I167">
        <v>327</v>
      </c>
      <c r="L167" t="s">
        <v>374</v>
      </c>
      <c r="AB167" t="s">
        <v>374</v>
      </c>
    </row>
    <row r="168" spans="1:29" x14ac:dyDescent="0.25">
      <c r="A168" s="1">
        <v>166</v>
      </c>
      <c r="B168" t="s">
        <v>173</v>
      </c>
      <c r="C168">
        <v>-3844.21</v>
      </c>
      <c r="D168" t="s">
        <v>344</v>
      </c>
      <c r="E168">
        <v>41915</v>
      </c>
      <c r="F168">
        <v>59.728875000000002</v>
      </c>
      <c r="G168">
        <v>38300</v>
      </c>
      <c r="H168">
        <v>54.577500000000001</v>
      </c>
      <c r="I168">
        <v>114.9</v>
      </c>
      <c r="AB168" t="s">
        <v>374</v>
      </c>
    </row>
    <row r="169" spans="1:29" x14ac:dyDescent="0.25">
      <c r="A169" s="1">
        <v>167</v>
      </c>
      <c r="B169" t="s">
        <v>174</v>
      </c>
      <c r="C169">
        <f>G169-E169-F169-H169</f>
        <v>5148.915</v>
      </c>
      <c r="D169" t="s">
        <v>355</v>
      </c>
      <c r="E169">
        <v>85400</v>
      </c>
      <c r="F169">
        <v>121.69499999999999</v>
      </c>
      <c r="G169">
        <v>90800</v>
      </c>
      <c r="H169">
        <v>129.38999999999999</v>
      </c>
      <c r="I169">
        <v>272.39999999999998</v>
      </c>
      <c r="AB169" t="s">
        <v>375</v>
      </c>
      <c r="AC169">
        <v>-51212.62703749998</v>
      </c>
    </row>
    <row r="170" spans="1:29" x14ac:dyDescent="0.25">
      <c r="A170" s="1">
        <v>168</v>
      </c>
      <c r="B170" t="s">
        <v>175</v>
      </c>
      <c r="C170">
        <v>-7210.67</v>
      </c>
      <c r="D170" t="s">
        <v>338</v>
      </c>
      <c r="E170">
        <v>205535</v>
      </c>
      <c r="F170">
        <v>292.88737500000002</v>
      </c>
      <c r="G170">
        <v>199500</v>
      </c>
      <c r="H170">
        <v>284.28750000000002</v>
      </c>
      <c r="I170">
        <v>598.5</v>
      </c>
      <c r="AB170" t="s">
        <v>374</v>
      </c>
    </row>
    <row r="171" spans="1:29" x14ac:dyDescent="0.25">
      <c r="A171" s="1">
        <v>169</v>
      </c>
      <c r="B171" t="s">
        <v>176</v>
      </c>
      <c r="C171">
        <v>770.87</v>
      </c>
      <c r="D171" t="s">
        <v>355</v>
      </c>
      <c r="E171">
        <v>8870</v>
      </c>
      <c r="F171">
        <v>20</v>
      </c>
      <c r="G171">
        <v>9710</v>
      </c>
      <c r="H171">
        <v>20</v>
      </c>
      <c r="I171">
        <v>29.13</v>
      </c>
      <c r="M171" t="s">
        <v>374</v>
      </c>
      <c r="AB171" t="s">
        <v>374</v>
      </c>
    </row>
    <row r="172" spans="1:29" x14ac:dyDescent="0.25">
      <c r="A172" s="1">
        <v>170</v>
      </c>
      <c r="B172" t="s">
        <v>108</v>
      </c>
      <c r="C172">
        <v>44947.75</v>
      </c>
      <c r="D172" t="s">
        <v>367</v>
      </c>
      <c r="E172">
        <v>79386</v>
      </c>
      <c r="F172">
        <v>113.12505</v>
      </c>
      <c r="G172">
        <v>125000</v>
      </c>
      <c r="H172">
        <v>178.125</v>
      </c>
      <c r="I172">
        <v>375</v>
      </c>
      <c r="Q172" t="s">
        <v>374</v>
      </c>
      <c r="AB172" t="s">
        <v>374</v>
      </c>
    </row>
    <row r="173" spans="1:29" x14ac:dyDescent="0.25">
      <c r="A173" s="1">
        <v>171</v>
      </c>
      <c r="B173" t="s">
        <v>177</v>
      </c>
      <c r="C173">
        <v>1531.23</v>
      </c>
      <c r="D173" t="s">
        <v>342</v>
      </c>
      <c r="E173">
        <v>7990</v>
      </c>
      <c r="F173">
        <v>20</v>
      </c>
      <c r="G173">
        <v>9590</v>
      </c>
      <c r="H173">
        <v>20</v>
      </c>
      <c r="I173">
        <v>28.77</v>
      </c>
      <c r="N173" t="s">
        <v>374</v>
      </c>
      <c r="AB173" t="s">
        <v>374</v>
      </c>
    </row>
    <row r="174" spans="1:29" x14ac:dyDescent="0.25">
      <c r="A174" s="1">
        <v>172</v>
      </c>
      <c r="B174" t="s">
        <v>126</v>
      </c>
      <c r="C174">
        <v>-3081.8</v>
      </c>
      <c r="D174" t="s">
        <v>338</v>
      </c>
      <c r="E174">
        <v>16000</v>
      </c>
      <c r="F174">
        <v>22.8</v>
      </c>
      <c r="G174">
        <v>13000</v>
      </c>
      <c r="H174">
        <v>20</v>
      </c>
      <c r="I174">
        <v>39</v>
      </c>
      <c r="L174" t="s">
        <v>374</v>
      </c>
      <c r="AB174" t="s">
        <v>374</v>
      </c>
    </row>
    <row r="175" spans="1:29" x14ac:dyDescent="0.25">
      <c r="A175" s="1">
        <v>173</v>
      </c>
      <c r="B175" t="s">
        <v>66</v>
      </c>
      <c r="C175">
        <f>G175-E175-F175-H175</f>
        <v>5778.84</v>
      </c>
      <c r="D175" t="s">
        <v>339</v>
      </c>
      <c r="E175">
        <v>74600</v>
      </c>
      <c r="F175">
        <v>106.30500000000001</v>
      </c>
      <c r="G175">
        <v>80600</v>
      </c>
      <c r="H175">
        <v>114.855</v>
      </c>
      <c r="I175">
        <v>241.8</v>
      </c>
      <c r="AB175" t="s">
        <v>375</v>
      </c>
      <c r="AC175">
        <v>23493.67796250002</v>
      </c>
    </row>
    <row r="176" spans="1:29" x14ac:dyDescent="0.25">
      <c r="A176" s="1">
        <v>174</v>
      </c>
      <c r="B176" t="s">
        <v>79</v>
      </c>
      <c r="C176">
        <v>-4381.8500000000004</v>
      </c>
      <c r="D176" t="s">
        <v>341</v>
      </c>
      <c r="E176">
        <v>47621.5</v>
      </c>
      <c r="F176">
        <v>67.860637499999996</v>
      </c>
      <c r="G176">
        <v>43500</v>
      </c>
      <c r="H176">
        <v>61.987499999999997</v>
      </c>
      <c r="I176">
        <v>130.5</v>
      </c>
      <c r="L176" t="s">
        <v>374</v>
      </c>
      <c r="AB176" t="s">
        <v>374</v>
      </c>
    </row>
    <row r="177" spans="1:29" x14ac:dyDescent="0.25">
      <c r="A177" s="1">
        <v>175</v>
      </c>
      <c r="B177" t="s">
        <v>178</v>
      </c>
      <c r="C177">
        <f>G177-E177-F177-H177</f>
        <v>-440.3775</v>
      </c>
      <c r="D177" t="s">
        <v>344</v>
      </c>
      <c r="E177">
        <v>14300</v>
      </c>
      <c r="F177">
        <v>20.377500000000001</v>
      </c>
      <c r="G177">
        <v>13900</v>
      </c>
      <c r="H177">
        <v>20</v>
      </c>
      <c r="I177">
        <v>41.7</v>
      </c>
      <c r="AB177" t="s">
        <v>375</v>
      </c>
      <c r="AC177">
        <v>69559.227962500023</v>
      </c>
    </row>
    <row r="178" spans="1:29" x14ac:dyDescent="0.25">
      <c r="A178" s="1">
        <v>176</v>
      </c>
      <c r="B178" t="s">
        <v>124</v>
      </c>
      <c r="C178">
        <v>580.91999999999996</v>
      </c>
      <c r="D178" t="s">
        <v>359</v>
      </c>
      <c r="E178">
        <v>23230</v>
      </c>
      <c r="F178">
        <v>33.10275</v>
      </c>
      <c r="G178">
        <v>23950</v>
      </c>
      <c r="H178">
        <v>34.128749999999997</v>
      </c>
      <c r="I178">
        <v>71.850000000000023</v>
      </c>
      <c r="AA178" t="s">
        <v>374</v>
      </c>
      <c r="AB178" t="s">
        <v>374</v>
      </c>
    </row>
    <row r="179" spans="1:29" x14ac:dyDescent="0.25">
      <c r="A179" s="1">
        <v>177</v>
      </c>
      <c r="B179" t="s">
        <v>179</v>
      </c>
      <c r="C179">
        <v>6029.63</v>
      </c>
      <c r="D179" t="s">
        <v>364</v>
      </c>
      <c r="E179">
        <v>37622.5</v>
      </c>
      <c r="F179">
        <v>53.6120625</v>
      </c>
      <c r="G179">
        <v>43900</v>
      </c>
      <c r="H179">
        <v>62.557500000000012</v>
      </c>
      <c r="I179">
        <v>131.69999999999999</v>
      </c>
      <c r="M179" t="s">
        <v>374</v>
      </c>
      <c r="AB179" t="s">
        <v>374</v>
      </c>
    </row>
    <row r="180" spans="1:29" x14ac:dyDescent="0.25">
      <c r="A180" s="1">
        <v>178</v>
      </c>
      <c r="B180" t="s">
        <v>180</v>
      </c>
      <c r="C180">
        <f>G180-E180-F180-H180</f>
        <v>-1488.35</v>
      </c>
      <c r="D180" t="s">
        <v>344</v>
      </c>
      <c r="E180">
        <v>31700</v>
      </c>
      <c r="F180">
        <v>45.172499999999999</v>
      </c>
      <c r="G180">
        <v>30300</v>
      </c>
      <c r="H180">
        <v>43.177500000000002</v>
      </c>
      <c r="I180">
        <v>90.9</v>
      </c>
      <c r="AB180" t="s">
        <v>375</v>
      </c>
      <c r="AC180">
        <v>69559.227962500023</v>
      </c>
    </row>
    <row r="181" spans="1:29" x14ac:dyDescent="0.25">
      <c r="A181" s="1">
        <v>179</v>
      </c>
      <c r="B181" t="s">
        <v>65</v>
      </c>
      <c r="C181">
        <v>3751.76</v>
      </c>
      <c r="D181" t="s">
        <v>341</v>
      </c>
      <c r="E181">
        <v>124500</v>
      </c>
      <c r="F181">
        <v>177.41249999999999</v>
      </c>
      <c r="G181">
        <v>129000</v>
      </c>
      <c r="H181">
        <v>183.82499999999999</v>
      </c>
      <c r="I181">
        <v>387</v>
      </c>
      <c r="R181" t="s">
        <v>374</v>
      </c>
      <c r="AB181" t="s">
        <v>374</v>
      </c>
    </row>
    <row r="182" spans="1:29" x14ac:dyDescent="0.25">
      <c r="A182" s="1">
        <v>180</v>
      </c>
      <c r="B182" t="s">
        <v>181</v>
      </c>
      <c r="C182">
        <v>2036.4</v>
      </c>
      <c r="D182" t="s">
        <v>353</v>
      </c>
      <c r="E182">
        <v>9090</v>
      </c>
      <c r="F182">
        <v>20</v>
      </c>
      <c r="G182">
        <v>11200</v>
      </c>
      <c r="H182">
        <v>20</v>
      </c>
      <c r="I182">
        <v>33.6</v>
      </c>
      <c r="AB182" t="s">
        <v>374</v>
      </c>
    </row>
    <row r="183" spans="1:29" x14ac:dyDescent="0.25">
      <c r="A183" s="1">
        <v>181</v>
      </c>
      <c r="B183" t="s">
        <v>182</v>
      </c>
      <c r="C183">
        <f t="shared" ref="C183:C184" si="0">G183-E183-F183-H183</f>
        <v>-520.27</v>
      </c>
      <c r="D183" t="s">
        <v>337</v>
      </c>
      <c r="E183">
        <v>42400</v>
      </c>
      <c r="F183">
        <v>60.42</v>
      </c>
      <c r="G183">
        <v>42000</v>
      </c>
      <c r="H183">
        <v>59.85</v>
      </c>
      <c r="I183">
        <v>126</v>
      </c>
      <c r="AB183" t="s">
        <v>375</v>
      </c>
      <c r="AC183">
        <v>137785.16296250001</v>
      </c>
    </row>
    <row r="184" spans="1:29" x14ac:dyDescent="0.25">
      <c r="A184" s="1">
        <v>182</v>
      </c>
      <c r="B184" t="s">
        <v>46</v>
      </c>
      <c r="C184">
        <f t="shared" si="0"/>
        <v>1706.1462499999998</v>
      </c>
      <c r="D184" t="s">
        <v>343</v>
      </c>
      <c r="E184">
        <v>49550</v>
      </c>
      <c r="F184">
        <v>70.608750000000001</v>
      </c>
      <c r="G184">
        <v>51400</v>
      </c>
      <c r="H184">
        <v>73.245000000000005</v>
      </c>
      <c r="I184">
        <v>154.19999999999999</v>
      </c>
      <c r="AB184" t="s">
        <v>375</v>
      </c>
      <c r="AC184">
        <v>137785.16296250001</v>
      </c>
    </row>
    <row r="185" spans="1:29" x14ac:dyDescent="0.25">
      <c r="A185" s="1">
        <v>183</v>
      </c>
      <c r="B185" t="s">
        <v>183</v>
      </c>
      <c r="C185">
        <v>336.18</v>
      </c>
      <c r="D185" t="s">
        <v>344</v>
      </c>
      <c r="E185">
        <v>19796</v>
      </c>
      <c r="F185">
        <v>28.20930000000001</v>
      </c>
      <c r="G185">
        <v>20250</v>
      </c>
      <c r="H185">
        <v>28.856249999999999</v>
      </c>
      <c r="I185">
        <v>60.75</v>
      </c>
      <c r="M185" t="s">
        <v>374</v>
      </c>
      <c r="AB185" t="s">
        <v>374</v>
      </c>
    </row>
    <row r="186" spans="1:29" x14ac:dyDescent="0.25">
      <c r="A186" s="1">
        <v>184</v>
      </c>
      <c r="B186" t="s">
        <v>184</v>
      </c>
      <c r="C186">
        <v>662.89</v>
      </c>
      <c r="D186" t="s">
        <v>362</v>
      </c>
      <c r="E186">
        <v>65549</v>
      </c>
      <c r="F186">
        <v>93.407325</v>
      </c>
      <c r="G186">
        <v>66600</v>
      </c>
      <c r="H186">
        <v>94.905000000000001</v>
      </c>
      <c r="I186">
        <v>199.8</v>
      </c>
      <c r="O186" t="s">
        <v>374</v>
      </c>
      <c r="AB186" t="s">
        <v>374</v>
      </c>
    </row>
    <row r="187" spans="1:29" x14ac:dyDescent="0.25">
      <c r="A187" s="1">
        <v>185</v>
      </c>
      <c r="B187" t="s">
        <v>185</v>
      </c>
      <c r="C187">
        <v>-770.45</v>
      </c>
      <c r="D187" t="s">
        <v>344</v>
      </c>
      <c r="E187">
        <v>10850</v>
      </c>
      <c r="F187">
        <v>20</v>
      </c>
      <c r="G187">
        <v>10150</v>
      </c>
      <c r="H187">
        <v>20</v>
      </c>
      <c r="I187">
        <v>30.45</v>
      </c>
      <c r="L187" t="s">
        <v>374</v>
      </c>
      <c r="AB187" t="s">
        <v>374</v>
      </c>
    </row>
    <row r="188" spans="1:29" x14ac:dyDescent="0.25">
      <c r="A188" s="1">
        <v>186</v>
      </c>
      <c r="B188" t="s">
        <v>186</v>
      </c>
      <c r="C188">
        <v>847.07</v>
      </c>
      <c r="D188" t="s">
        <v>343</v>
      </c>
      <c r="E188">
        <v>25300.5</v>
      </c>
      <c r="F188">
        <v>36.053212500000001</v>
      </c>
      <c r="G188">
        <v>26300</v>
      </c>
      <c r="H188">
        <v>37.477499999999999</v>
      </c>
      <c r="I188">
        <v>78.900000000000006</v>
      </c>
      <c r="N188" t="s">
        <v>374</v>
      </c>
      <c r="AB188" t="s">
        <v>374</v>
      </c>
    </row>
    <row r="189" spans="1:29" x14ac:dyDescent="0.25">
      <c r="A189" s="1">
        <v>187</v>
      </c>
      <c r="B189" t="s">
        <v>187</v>
      </c>
      <c r="C189">
        <v>2481.14</v>
      </c>
      <c r="D189" t="s">
        <v>343</v>
      </c>
      <c r="E189">
        <v>7070</v>
      </c>
      <c r="F189">
        <v>20</v>
      </c>
      <c r="G189">
        <v>9620</v>
      </c>
      <c r="H189">
        <v>20</v>
      </c>
      <c r="I189">
        <v>28.86</v>
      </c>
      <c r="N189" t="s">
        <v>374</v>
      </c>
      <c r="AB189" t="s">
        <v>374</v>
      </c>
    </row>
    <row r="190" spans="1:29" x14ac:dyDescent="0.25">
      <c r="A190" s="1">
        <v>188</v>
      </c>
      <c r="B190" t="s">
        <v>59</v>
      </c>
      <c r="C190">
        <v>15524.86</v>
      </c>
      <c r="D190" t="s">
        <v>353</v>
      </c>
      <c r="E190">
        <v>52100</v>
      </c>
      <c r="F190">
        <v>74.242500000000007</v>
      </c>
      <c r="G190">
        <v>68000</v>
      </c>
      <c r="H190">
        <v>96.9</v>
      </c>
      <c r="I190">
        <v>204</v>
      </c>
      <c r="P190" t="s">
        <v>374</v>
      </c>
      <c r="AB190" t="s">
        <v>374</v>
      </c>
    </row>
    <row r="191" spans="1:29" x14ac:dyDescent="0.25">
      <c r="A191" s="1">
        <v>189</v>
      </c>
      <c r="B191" t="s">
        <v>188</v>
      </c>
      <c r="C191">
        <f>G191-E191-F191-H191</f>
        <v>976.40875000000005</v>
      </c>
      <c r="D191" t="s">
        <v>368</v>
      </c>
      <c r="E191">
        <v>13433</v>
      </c>
      <c r="F191">
        <v>20</v>
      </c>
      <c r="G191">
        <v>14450</v>
      </c>
      <c r="H191">
        <v>20.591249999999999</v>
      </c>
      <c r="I191">
        <v>43.35</v>
      </c>
      <c r="AB191" t="s">
        <v>375</v>
      </c>
      <c r="AC191">
        <v>151238.16296250001</v>
      </c>
    </row>
    <row r="192" spans="1:29" x14ac:dyDescent="0.25">
      <c r="A192" s="1">
        <v>190</v>
      </c>
      <c r="B192" t="s">
        <v>189</v>
      </c>
      <c r="C192">
        <v>6647.83</v>
      </c>
      <c r="D192" t="s">
        <v>359</v>
      </c>
      <c r="E192">
        <v>58479</v>
      </c>
      <c r="F192">
        <v>83.332575000000006</v>
      </c>
      <c r="G192">
        <v>65500</v>
      </c>
      <c r="H192">
        <v>93.337500000000006</v>
      </c>
      <c r="I192">
        <v>196.5</v>
      </c>
      <c r="M192" t="s">
        <v>374</v>
      </c>
      <c r="AB192" t="s">
        <v>374</v>
      </c>
    </row>
    <row r="193" spans="1:29" x14ac:dyDescent="0.25">
      <c r="A193" s="1">
        <v>191</v>
      </c>
      <c r="B193" t="s">
        <v>190</v>
      </c>
      <c r="C193">
        <v>2406.9899999999998</v>
      </c>
      <c r="D193" t="s">
        <v>362</v>
      </c>
      <c r="E193">
        <v>14000</v>
      </c>
      <c r="F193">
        <v>20</v>
      </c>
      <c r="G193">
        <v>16500</v>
      </c>
      <c r="H193">
        <v>23.512499999999999</v>
      </c>
      <c r="I193">
        <v>49.5</v>
      </c>
      <c r="M193" t="s">
        <v>374</v>
      </c>
      <c r="AB193" t="s">
        <v>374</v>
      </c>
    </row>
    <row r="194" spans="1:29" x14ac:dyDescent="0.25">
      <c r="A194" s="1">
        <v>192</v>
      </c>
      <c r="B194" t="s">
        <v>191</v>
      </c>
      <c r="C194">
        <v>-230.7</v>
      </c>
      <c r="D194" t="s">
        <v>367</v>
      </c>
      <c r="E194">
        <v>7070</v>
      </c>
      <c r="F194">
        <v>20</v>
      </c>
      <c r="G194">
        <v>6900</v>
      </c>
      <c r="H194">
        <v>20</v>
      </c>
      <c r="I194">
        <v>20.7</v>
      </c>
      <c r="L194" t="s">
        <v>374</v>
      </c>
      <c r="AB194" t="s">
        <v>374</v>
      </c>
    </row>
    <row r="195" spans="1:29" x14ac:dyDescent="0.25">
      <c r="A195" s="1">
        <v>193</v>
      </c>
      <c r="B195" t="s">
        <v>192</v>
      </c>
      <c r="C195">
        <v>2192.2800000000002</v>
      </c>
      <c r="D195" t="s">
        <v>368</v>
      </c>
      <c r="E195">
        <v>18887</v>
      </c>
      <c r="F195">
        <v>26.913975000000001</v>
      </c>
      <c r="G195">
        <v>21200</v>
      </c>
      <c r="H195">
        <v>30.21</v>
      </c>
      <c r="I195">
        <v>63.6</v>
      </c>
      <c r="M195" t="s">
        <v>374</v>
      </c>
      <c r="AB195" t="s">
        <v>374</v>
      </c>
    </row>
    <row r="196" spans="1:29" x14ac:dyDescent="0.25">
      <c r="A196" s="1">
        <v>194</v>
      </c>
      <c r="B196" t="s">
        <v>193</v>
      </c>
      <c r="C196">
        <v>-473</v>
      </c>
      <c r="D196" t="s">
        <v>343</v>
      </c>
      <c r="E196">
        <v>10403</v>
      </c>
      <c r="F196">
        <v>20</v>
      </c>
      <c r="G196">
        <v>10000</v>
      </c>
      <c r="H196">
        <v>20</v>
      </c>
      <c r="I196">
        <v>30</v>
      </c>
      <c r="L196" t="s">
        <v>374</v>
      </c>
      <c r="AB196" t="s">
        <v>374</v>
      </c>
    </row>
    <row r="197" spans="1:29" x14ac:dyDescent="0.25">
      <c r="A197" s="1">
        <v>195</v>
      </c>
      <c r="B197" t="s">
        <v>194</v>
      </c>
      <c r="C197">
        <v>388.68</v>
      </c>
      <c r="D197" t="s">
        <v>368</v>
      </c>
      <c r="E197">
        <v>18650</v>
      </c>
      <c r="F197">
        <v>26.576250000000002</v>
      </c>
      <c r="G197">
        <v>19150</v>
      </c>
      <c r="H197">
        <v>27.28875</v>
      </c>
      <c r="I197">
        <v>57.45</v>
      </c>
      <c r="M197" t="s">
        <v>374</v>
      </c>
      <c r="AB197" t="s">
        <v>374</v>
      </c>
    </row>
    <row r="198" spans="1:29" x14ac:dyDescent="0.25">
      <c r="A198" s="1">
        <v>196</v>
      </c>
      <c r="B198" t="s">
        <v>195</v>
      </c>
      <c r="C198">
        <v>11322.38</v>
      </c>
      <c r="D198" t="s">
        <v>356</v>
      </c>
      <c r="E198">
        <v>55700</v>
      </c>
      <c r="F198">
        <v>79.372500000000002</v>
      </c>
      <c r="G198">
        <v>67400</v>
      </c>
      <c r="H198">
        <v>96.045000000000002</v>
      </c>
      <c r="I198">
        <v>202.2</v>
      </c>
      <c r="M198" t="s">
        <v>374</v>
      </c>
      <c r="AB198" t="s">
        <v>374</v>
      </c>
    </row>
    <row r="199" spans="1:29" x14ac:dyDescent="0.25">
      <c r="A199" s="1">
        <v>197</v>
      </c>
      <c r="B199" t="s">
        <v>196</v>
      </c>
      <c r="C199">
        <f>G199-E199-F199-H199</f>
        <v>-2437.2718749999999</v>
      </c>
      <c r="D199" t="s">
        <v>345</v>
      </c>
      <c r="E199">
        <v>58075</v>
      </c>
      <c r="F199">
        <v>82.756875000000022</v>
      </c>
      <c r="G199">
        <v>55800</v>
      </c>
      <c r="H199">
        <v>79.515000000000001</v>
      </c>
      <c r="I199">
        <v>167.4</v>
      </c>
      <c r="AB199" t="s">
        <v>375</v>
      </c>
      <c r="AC199">
        <v>209395.9198375</v>
      </c>
    </row>
    <row r="200" spans="1:29" x14ac:dyDescent="0.25">
      <c r="A200" s="1">
        <v>198</v>
      </c>
      <c r="B200" t="s">
        <v>197</v>
      </c>
      <c r="C200">
        <v>-5726.41</v>
      </c>
      <c r="D200" t="s">
        <v>344</v>
      </c>
      <c r="E200">
        <v>76900</v>
      </c>
      <c r="F200">
        <v>109.5825</v>
      </c>
      <c r="G200">
        <v>71600</v>
      </c>
      <c r="H200">
        <v>102.03</v>
      </c>
      <c r="I200">
        <v>214.8</v>
      </c>
      <c r="L200" t="s">
        <v>374</v>
      </c>
      <c r="AB200" t="s">
        <v>374</v>
      </c>
    </row>
    <row r="201" spans="1:29" x14ac:dyDescent="0.25">
      <c r="A201" s="1">
        <v>199</v>
      </c>
      <c r="B201" t="s">
        <v>198</v>
      </c>
      <c r="C201">
        <v>1301.02</v>
      </c>
      <c r="D201" t="s">
        <v>355</v>
      </c>
      <c r="E201">
        <v>18584</v>
      </c>
      <c r="F201">
        <v>26.482199999999999</v>
      </c>
      <c r="G201">
        <v>20000</v>
      </c>
      <c r="H201">
        <v>28.5</v>
      </c>
      <c r="I201">
        <v>60</v>
      </c>
      <c r="R201" t="s">
        <v>374</v>
      </c>
      <c r="AB201" t="s">
        <v>374</v>
      </c>
    </row>
    <row r="202" spans="1:29" x14ac:dyDescent="0.25">
      <c r="A202" s="1">
        <v>200</v>
      </c>
      <c r="B202" t="s">
        <v>199</v>
      </c>
      <c r="C202">
        <v>1254.82</v>
      </c>
      <c r="D202" t="s">
        <v>343</v>
      </c>
      <c r="E202">
        <v>24694.499999999902</v>
      </c>
      <c r="F202">
        <v>35.189662499999997</v>
      </c>
      <c r="G202">
        <v>26100</v>
      </c>
      <c r="H202">
        <v>37.192500000000003</v>
      </c>
      <c r="I202">
        <v>78.3</v>
      </c>
      <c r="N202" t="s">
        <v>374</v>
      </c>
      <c r="AB202" t="s">
        <v>374</v>
      </c>
    </row>
    <row r="203" spans="1:29" x14ac:dyDescent="0.25">
      <c r="A203" s="1">
        <v>201</v>
      </c>
      <c r="B203" t="s">
        <v>200</v>
      </c>
      <c r="C203">
        <v>-7979.54</v>
      </c>
      <c r="D203" t="s">
        <v>340</v>
      </c>
      <c r="E203">
        <v>45100</v>
      </c>
      <c r="F203">
        <v>64.267499999999998</v>
      </c>
      <c r="G203">
        <v>37350</v>
      </c>
      <c r="H203">
        <v>53.223750000000003</v>
      </c>
      <c r="I203">
        <v>112.05</v>
      </c>
      <c r="O203" t="s">
        <v>374</v>
      </c>
      <c r="AB203" t="s">
        <v>374</v>
      </c>
    </row>
    <row r="204" spans="1:29" x14ac:dyDescent="0.25">
      <c r="A204" s="1">
        <v>202</v>
      </c>
      <c r="B204" t="s">
        <v>163</v>
      </c>
      <c r="C204">
        <v>5644.3</v>
      </c>
      <c r="D204" t="s">
        <v>368</v>
      </c>
      <c r="E204">
        <v>6180</v>
      </c>
      <c r="F204">
        <v>20</v>
      </c>
      <c r="G204">
        <v>11900</v>
      </c>
      <c r="H204">
        <v>20</v>
      </c>
      <c r="I204">
        <v>35.700000000000003</v>
      </c>
      <c r="N204" t="s">
        <v>374</v>
      </c>
      <c r="AB204" t="s">
        <v>374</v>
      </c>
    </row>
    <row r="205" spans="1:29" x14ac:dyDescent="0.25">
      <c r="A205" s="1">
        <v>203</v>
      </c>
      <c r="B205" t="s">
        <v>201</v>
      </c>
      <c r="C205">
        <v>-741.96</v>
      </c>
      <c r="D205" t="s">
        <v>360</v>
      </c>
      <c r="E205">
        <v>8000</v>
      </c>
      <c r="F205">
        <v>20</v>
      </c>
      <c r="G205">
        <v>7320</v>
      </c>
      <c r="H205">
        <v>20</v>
      </c>
      <c r="I205">
        <v>21.96</v>
      </c>
      <c r="J205" t="s">
        <v>374</v>
      </c>
      <c r="AB205" t="s">
        <v>374</v>
      </c>
    </row>
    <row r="206" spans="1:29" x14ac:dyDescent="0.25">
      <c r="A206" s="1">
        <v>204</v>
      </c>
      <c r="B206" t="s">
        <v>202</v>
      </c>
      <c r="C206">
        <v>-745.4</v>
      </c>
      <c r="D206" t="s">
        <v>341</v>
      </c>
      <c r="E206">
        <v>9877.7999999999993</v>
      </c>
      <c r="F206">
        <v>20</v>
      </c>
      <c r="G206">
        <v>9200</v>
      </c>
      <c r="H206">
        <v>20</v>
      </c>
      <c r="I206">
        <v>27.6</v>
      </c>
      <c r="J206" t="s">
        <v>374</v>
      </c>
      <c r="AB206" t="s">
        <v>374</v>
      </c>
    </row>
    <row r="207" spans="1:29" x14ac:dyDescent="0.25">
      <c r="A207" s="1">
        <v>205</v>
      </c>
      <c r="B207" t="s">
        <v>203</v>
      </c>
      <c r="C207">
        <v>-463.11</v>
      </c>
      <c r="D207" t="s">
        <v>337</v>
      </c>
      <c r="E207">
        <v>19600</v>
      </c>
      <c r="F207">
        <v>27.93</v>
      </c>
      <c r="G207">
        <v>19250</v>
      </c>
      <c r="H207">
        <v>27.431249999999999</v>
      </c>
      <c r="I207">
        <v>57.75</v>
      </c>
      <c r="P207" t="s">
        <v>374</v>
      </c>
      <c r="AB207" t="s">
        <v>374</v>
      </c>
    </row>
    <row r="208" spans="1:29" x14ac:dyDescent="0.25">
      <c r="A208" s="1">
        <v>206</v>
      </c>
      <c r="B208" t="s">
        <v>204</v>
      </c>
      <c r="C208">
        <v>-1575.74</v>
      </c>
      <c r="D208" t="s">
        <v>338</v>
      </c>
      <c r="E208">
        <v>81305</v>
      </c>
      <c r="F208">
        <v>115.85962499999999</v>
      </c>
      <c r="G208">
        <v>80200</v>
      </c>
      <c r="H208">
        <v>114.285</v>
      </c>
      <c r="I208">
        <v>240.6</v>
      </c>
      <c r="M208" t="s">
        <v>374</v>
      </c>
      <c r="AB208" t="s">
        <v>374</v>
      </c>
    </row>
    <row r="209" spans="1:29" x14ac:dyDescent="0.25">
      <c r="A209" s="1">
        <v>207</v>
      </c>
      <c r="B209" t="s">
        <v>205</v>
      </c>
      <c r="C209">
        <v>677.45</v>
      </c>
      <c r="D209" t="s">
        <v>354</v>
      </c>
      <c r="E209">
        <v>10100</v>
      </c>
      <c r="F209">
        <v>20</v>
      </c>
      <c r="G209">
        <v>10850</v>
      </c>
      <c r="H209">
        <v>20</v>
      </c>
      <c r="I209">
        <v>32.549999999999997</v>
      </c>
      <c r="J209" t="s">
        <v>374</v>
      </c>
      <c r="AB209" t="s">
        <v>374</v>
      </c>
    </row>
    <row r="210" spans="1:29" x14ac:dyDescent="0.25">
      <c r="A210" s="1">
        <v>208</v>
      </c>
      <c r="B210" t="s">
        <v>166</v>
      </c>
      <c r="C210">
        <f>G210-E210-F210-H210</f>
        <v>7028.1909999999998</v>
      </c>
      <c r="D210" t="s">
        <v>359</v>
      </c>
      <c r="E210">
        <v>39950</v>
      </c>
      <c r="F210">
        <v>54.691500000000012</v>
      </c>
      <c r="G210">
        <v>47100</v>
      </c>
      <c r="H210">
        <v>67.117500000000007</v>
      </c>
      <c r="I210">
        <v>141.30000000000001</v>
      </c>
      <c r="AB210" t="s">
        <v>375</v>
      </c>
      <c r="AC210">
        <v>-92581.117412499967</v>
      </c>
    </row>
    <row r="211" spans="1:29" x14ac:dyDescent="0.25">
      <c r="A211" s="1">
        <v>209</v>
      </c>
      <c r="B211" t="s">
        <v>206</v>
      </c>
      <c r="C211">
        <v>-1387.81</v>
      </c>
      <c r="D211" t="s">
        <v>360</v>
      </c>
      <c r="E211">
        <v>31310</v>
      </c>
      <c r="F211">
        <v>44.616750000000003</v>
      </c>
      <c r="G211">
        <v>30100</v>
      </c>
      <c r="H211">
        <v>42.892499999999998</v>
      </c>
      <c r="I211">
        <v>90.3</v>
      </c>
      <c r="N211" t="s">
        <v>374</v>
      </c>
      <c r="AB211" t="s">
        <v>374</v>
      </c>
    </row>
    <row r="212" spans="1:29" x14ac:dyDescent="0.25">
      <c r="A212" s="1">
        <v>210</v>
      </c>
      <c r="B212" t="s">
        <v>207</v>
      </c>
      <c r="C212">
        <f>G212-E212-F212-H212</f>
        <v>-2064.6237499999997</v>
      </c>
      <c r="D212" t="s">
        <v>341</v>
      </c>
      <c r="E212">
        <v>24400</v>
      </c>
      <c r="F212">
        <v>32.703749999999999</v>
      </c>
      <c r="G212">
        <v>22400</v>
      </c>
      <c r="H212">
        <v>31.92</v>
      </c>
      <c r="I212">
        <v>67.2</v>
      </c>
      <c r="AB212" t="s">
        <v>375</v>
      </c>
      <c r="AC212">
        <v>-92581.117412499967</v>
      </c>
    </row>
    <row r="213" spans="1:29" x14ac:dyDescent="0.25">
      <c r="A213" s="1">
        <v>211</v>
      </c>
      <c r="B213" t="s">
        <v>208</v>
      </c>
      <c r="C213">
        <v>1201.3399999999999</v>
      </c>
      <c r="D213" t="s">
        <v>336</v>
      </c>
      <c r="E213">
        <v>4960</v>
      </c>
      <c r="F213">
        <v>20</v>
      </c>
      <c r="G213">
        <v>6220</v>
      </c>
      <c r="H213">
        <v>20</v>
      </c>
      <c r="I213">
        <v>18.66</v>
      </c>
      <c r="N213" t="s">
        <v>374</v>
      </c>
      <c r="AB213" t="s">
        <v>374</v>
      </c>
    </row>
    <row r="214" spans="1:29" x14ac:dyDescent="0.25">
      <c r="A214" s="1">
        <v>212</v>
      </c>
      <c r="B214" t="s">
        <v>209</v>
      </c>
      <c r="C214">
        <v>744.55</v>
      </c>
      <c r="D214" t="s">
        <v>342</v>
      </c>
      <c r="E214">
        <v>9534.4</v>
      </c>
      <c r="F214">
        <v>20</v>
      </c>
      <c r="G214">
        <v>10350</v>
      </c>
      <c r="H214">
        <v>20</v>
      </c>
      <c r="I214">
        <v>31.05</v>
      </c>
      <c r="M214" t="s">
        <v>374</v>
      </c>
      <c r="AB214" t="s">
        <v>374</v>
      </c>
    </row>
    <row r="215" spans="1:29" x14ac:dyDescent="0.25">
      <c r="A215" s="1">
        <v>213</v>
      </c>
      <c r="B215" t="s">
        <v>210</v>
      </c>
      <c r="C215">
        <v>-180.45</v>
      </c>
      <c r="D215" t="s">
        <v>355</v>
      </c>
      <c r="E215">
        <v>17826.5</v>
      </c>
      <c r="F215">
        <v>25.402762500000001</v>
      </c>
      <c r="G215">
        <v>17750</v>
      </c>
      <c r="H215">
        <v>25.293749999999999</v>
      </c>
      <c r="I215">
        <v>53.25</v>
      </c>
      <c r="M215" t="s">
        <v>374</v>
      </c>
      <c r="AB215" t="s">
        <v>374</v>
      </c>
    </row>
    <row r="216" spans="1:29" x14ac:dyDescent="0.25">
      <c r="A216" s="1">
        <v>214</v>
      </c>
      <c r="B216" t="s">
        <v>211</v>
      </c>
      <c r="C216">
        <v>1156.77</v>
      </c>
      <c r="D216" t="s">
        <v>344</v>
      </c>
      <c r="E216">
        <v>23500</v>
      </c>
      <c r="F216">
        <v>33.487499999999997</v>
      </c>
      <c r="G216">
        <v>24800</v>
      </c>
      <c r="H216">
        <v>35.340000000000003</v>
      </c>
      <c r="I216">
        <v>74.400000000000006</v>
      </c>
      <c r="M216" t="s">
        <v>374</v>
      </c>
      <c r="AB216" t="s">
        <v>374</v>
      </c>
    </row>
    <row r="217" spans="1:29" x14ac:dyDescent="0.25">
      <c r="A217" s="1">
        <v>215</v>
      </c>
      <c r="B217" t="s">
        <v>212</v>
      </c>
      <c r="C217">
        <v>-19538.41</v>
      </c>
      <c r="D217" t="s">
        <v>338</v>
      </c>
      <c r="E217">
        <v>191500</v>
      </c>
      <c r="F217">
        <v>272.88749999999999</v>
      </c>
      <c r="G217">
        <v>173000</v>
      </c>
      <c r="H217">
        <v>246.52500000000001</v>
      </c>
      <c r="I217">
        <v>519</v>
      </c>
      <c r="J217" t="s">
        <v>374</v>
      </c>
      <c r="AB217" t="s">
        <v>374</v>
      </c>
    </row>
    <row r="218" spans="1:29" x14ac:dyDescent="0.25">
      <c r="A218" s="1">
        <v>216</v>
      </c>
      <c r="B218" t="s">
        <v>213</v>
      </c>
      <c r="C218">
        <f>G218-E218-F218-H218</f>
        <v>1944.2420500000001</v>
      </c>
      <c r="D218" t="s">
        <v>356</v>
      </c>
      <c r="E218">
        <v>27674</v>
      </c>
      <c r="F218">
        <v>39.435450000000003</v>
      </c>
      <c r="G218">
        <v>29700</v>
      </c>
      <c r="H218">
        <v>42.322499999999998</v>
      </c>
      <c r="I218">
        <v>89.100000000000023</v>
      </c>
      <c r="AB218" t="s">
        <v>375</v>
      </c>
      <c r="AC218">
        <v>-64867.68196249997</v>
      </c>
    </row>
    <row r="219" spans="1:29" x14ac:dyDescent="0.25">
      <c r="A219" s="1">
        <v>217</v>
      </c>
      <c r="B219" t="s">
        <v>214</v>
      </c>
      <c r="C219">
        <v>-1640.73</v>
      </c>
      <c r="D219" t="s">
        <v>338</v>
      </c>
      <c r="E219">
        <v>33700</v>
      </c>
      <c r="F219">
        <v>48.022500000000001</v>
      </c>
      <c r="G219">
        <v>32250</v>
      </c>
      <c r="H219">
        <v>45.956249999999997</v>
      </c>
      <c r="I219">
        <v>96.75</v>
      </c>
      <c r="J219" t="s">
        <v>374</v>
      </c>
      <c r="AB219" t="s">
        <v>374</v>
      </c>
    </row>
    <row r="220" spans="1:29" x14ac:dyDescent="0.25">
      <c r="A220" s="1">
        <v>218</v>
      </c>
      <c r="B220" t="s">
        <v>185</v>
      </c>
      <c r="C220">
        <v>11445.03</v>
      </c>
      <c r="D220" t="s">
        <v>369</v>
      </c>
      <c r="E220">
        <v>12827</v>
      </c>
      <c r="F220">
        <v>20</v>
      </c>
      <c r="G220">
        <v>24400</v>
      </c>
      <c r="H220">
        <v>34.770000000000003</v>
      </c>
      <c r="I220">
        <v>73.2</v>
      </c>
      <c r="J220" t="s">
        <v>374</v>
      </c>
      <c r="AB220" t="s">
        <v>374</v>
      </c>
    </row>
    <row r="221" spans="1:29" x14ac:dyDescent="0.25">
      <c r="A221" s="1">
        <v>219</v>
      </c>
      <c r="B221" t="s">
        <v>28</v>
      </c>
      <c r="C221">
        <v>1290.1300000000001</v>
      </c>
      <c r="D221" t="s">
        <v>359</v>
      </c>
      <c r="E221">
        <v>28785</v>
      </c>
      <c r="F221">
        <v>41.018625</v>
      </c>
      <c r="G221">
        <v>30250</v>
      </c>
      <c r="H221">
        <v>43.106250000000003</v>
      </c>
      <c r="I221">
        <v>90.75</v>
      </c>
      <c r="O221" t="s">
        <v>374</v>
      </c>
      <c r="AB221" t="s">
        <v>374</v>
      </c>
    </row>
    <row r="222" spans="1:29" x14ac:dyDescent="0.25">
      <c r="A222" s="1">
        <v>220</v>
      </c>
      <c r="B222" t="s">
        <v>177</v>
      </c>
      <c r="C222">
        <v>1578.02</v>
      </c>
      <c r="D222" t="s">
        <v>339</v>
      </c>
      <c r="E222">
        <v>13584.5</v>
      </c>
      <c r="F222">
        <v>20</v>
      </c>
      <c r="G222">
        <v>15250</v>
      </c>
      <c r="H222">
        <v>21.731249999999999</v>
      </c>
      <c r="I222">
        <v>45.75</v>
      </c>
      <c r="Q222" t="s">
        <v>374</v>
      </c>
      <c r="AB222" t="s">
        <v>374</v>
      </c>
    </row>
    <row r="223" spans="1:29" x14ac:dyDescent="0.25">
      <c r="A223" s="1">
        <v>221</v>
      </c>
      <c r="B223" t="s">
        <v>125</v>
      </c>
      <c r="C223">
        <v>447.5</v>
      </c>
      <c r="D223" t="s">
        <v>343</v>
      </c>
      <c r="E223">
        <v>12473.5</v>
      </c>
      <c r="F223">
        <v>20</v>
      </c>
      <c r="G223">
        <v>13000</v>
      </c>
      <c r="H223">
        <v>20</v>
      </c>
      <c r="I223">
        <v>39</v>
      </c>
      <c r="M223" t="s">
        <v>374</v>
      </c>
      <c r="AB223" t="s">
        <v>374</v>
      </c>
    </row>
    <row r="224" spans="1:29" x14ac:dyDescent="0.25">
      <c r="A224" s="1">
        <v>222</v>
      </c>
      <c r="B224" t="s">
        <v>215</v>
      </c>
      <c r="C224">
        <v>1271.0999999999999</v>
      </c>
      <c r="D224" t="s">
        <v>356</v>
      </c>
      <c r="E224">
        <v>4970</v>
      </c>
      <c r="F224">
        <v>20</v>
      </c>
      <c r="G224">
        <v>6300</v>
      </c>
      <c r="H224">
        <v>20</v>
      </c>
      <c r="I224">
        <v>18.899999999999999</v>
      </c>
      <c r="M224" t="s">
        <v>374</v>
      </c>
      <c r="AB224" t="s">
        <v>374</v>
      </c>
    </row>
    <row r="225" spans="1:29" x14ac:dyDescent="0.25">
      <c r="A225" s="1">
        <v>223</v>
      </c>
      <c r="B225" t="s">
        <v>216</v>
      </c>
      <c r="C225">
        <v>-480.15</v>
      </c>
      <c r="D225" t="s">
        <v>338</v>
      </c>
      <c r="E225">
        <v>10958.4999999999</v>
      </c>
      <c r="F225">
        <v>20</v>
      </c>
      <c r="G225">
        <v>10550</v>
      </c>
      <c r="H225">
        <v>20</v>
      </c>
      <c r="I225">
        <v>31.65</v>
      </c>
      <c r="L225" t="s">
        <v>374</v>
      </c>
      <c r="AB225" t="s">
        <v>374</v>
      </c>
    </row>
    <row r="226" spans="1:29" x14ac:dyDescent="0.25">
      <c r="A226" s="1">
        <v>224</v>
      </c>
      <c r="B226" t="s">
        <v>217</v>
      </c>
      <c r="C226">
        <v>-230.9</v>
      </c>
      <c r="D226" t="s">
        <v>342</v>
      </c>
      <c r="E226">
        <v>10958.4999999999</v>
      </c>
      <c r="F226">
        <v>20</v>
      </c>
      <c r="G226">
        <v>10800</v>
      </c>
      <c r="H226">
        <v>20</v>
      </c>
      <c r="I226">
        <v>32.4</v>
      </c>
      <c r="M226" t="s">
        <v>374</v>
      </c>
      <c r="AB226" t="s">
        <v>374</v>
      </c>
    </row>
    <row r="227" spans="1:29" x14ac:dyDescent="0.25">
      <c r="A227" s="1">
        <v>225</v>
      </c>
      <c r="B227" t="s">
        <v>218</v>
      </c>
      <c r="C227">
        <v>-570.15</v>
      </c>
      <c r="D227" t="s">
        <v>356</v>
      </c>
      <c r="E227">
        <v>10550</v>
      </c>
      <c r="F227">
        <v>20</v>
      </c>
      <c r="G227">
        <v>10050</v>
      </c>
      <c r="H227">
        <v>20</v>
      </c>
      <c r="I227">
        <v>30.15</v>
      </c>
      <c r="P227" t="s">
        <v>374</v>
      </c>
      <c r="AB227" t="s">
        <v>374</v>
      </c>
    </row>
    <row r="228" spans="1:29" x14ac:dyDescent="0.25">
      <c r="A228" s="1">
        <v>226</v>
      </c>
      <c r="B228" t="s">
        <v>219</v>
      </c>
      <c r="C228">
        <f>G228-E228-F228-H228</f>
        <v>-825</v>
      </c>
      <c r="D228" t="s">
        <v>340</v>
      </c>
      <c r="E228">
        <v>13635</v>
      </c>
      <c r="F228">
        <v>20</v>
      </c>
      <c r="G228">
        <v>12850</v>
      </c>
      <c r="H228">
        <v>20</v>
      </c>
      <c r="I228">
        <v>38.549999999999997</v>
      </c>
      <c r="AB228" t="s">
        <v>375</v>
      </c>
      <c r="AC228">
        <v>-51212.68196249997</v>
      </c>
    </row>
    <row r="229" spans="1:29" x14ac:dyDescent="0.25">
      <c r="A229" s="1">
        <v>227</v>
      </c>
      <c r="B229" t="s">
        <v>220</v>
      </c>
      <c r="C229">
        <v>351.12</v>
      </c>
      <c r="D229" t="s">
        <v>355</v>
      </c>
      <c r="E229">
        <v>2560</v>
      </c>
      <c r="F229">
        <v>20</v>
      </c>
      <c r="G229">
        <v>2960</v>
      </c>
      <c r="H229">
        <v>20</v>
      </c>
      <c r="I229">
        <v>8.8800000000000008</v>
      </c>
      <c r="N229" t="s">
        <v>374</v>
      </c>
      <c r="AB229" t="s">
        <v>374</v>
      </c>
    </row>
    <row r="230" spans="1:29" x14ac:dyDescent="0.25">
      <c r="A230" s="1">
        <v>228</v>
      </c>
      <c r="B230" t="s">
        <v>221</v>
      </c>
      <c r="C230">
        <f>G230-E230-F230-H230</f>
        <v>-843.32392499999992</v>
      </c>
      <c r="D230" t="s">
        <v>337</v>
      </c>
      <c r="E230">
        <v>15251</v>
      </c>
      <c r="F230">
        <v>21.732675</v>
      </c>
      <c r="G230">
        <v>14450</v>
      </c>
      <c r="H230">
        <v>20.591249999999999</v>
      </c>
      <c r="I230">
        <v>43.35</v>
      </c>
      <c r="AB230" t="s">
        <v>375</v>
      </c>
      <c r="AC230">
        <v>-35939.949287499971</v>
      </c>
    </row>
    <row r="231" spans="1:29" x14ac:dyDescent="0.25">
      <c r="A231" s="1">
        <v>229</v>
      </c>
      <c r="B231" t="s">
        <v>222</v>
      </c>
      <c r="C231">
        <v>-873.1</v>
      </c>
      <c r="D231" t="s">
        <v>337</v>
      </c>
      <c r="E231">
        <v>10504</v>
      </c>
      <c r="F231">
        <v>20</v>
      </c>
      <c r="G231">
        <v>9700</v>
      </c>
      <c r="H231">
        <v>20</v>
      </c>
      <c r="I231">
        <v>29.1</v>
      </c>
      <c r="L231" t="s">
        <v>374</v>
      </c>
      <c r="AB231" t="s">
        <v>374</v>
      </c>
    </row>
    <row r="232" spans="1:29" x14ac:dyDescent="0.25">
      <c r="A232" s="1">
        <v>230</v>
      </c>
      <c r="B232" t="s">
        <v>89</v>
      </c>
      <c r="C232">
        <v>-753.88</v>
      </c>
      <c r="D232" t="s">
        <v>338</v>
      </c>
      <c r="E232">
        <v>8650</v>
      </c>
      <c r="F232">
        <v>20</v>
      </c>
      <c r="G232">
        <v>7960</v>
      </c>
      <c r="H232">
        <v>20</v>
      </c>
      <c r="I232">
        <v>23.88</v>
      </c>
      <c r="L232" t="s">
        <v>374</v>
      </c>
      <c r="AB232" t="s">
        <v>374</v>
      </c>
    </row>
    <row r="233" spans="1:29" x14ac:dyDescent="0.25">
      <c r="A233" s="1">
        <v>231</v>
      </c>
      <c r="B233" t="s">
        <v>223</v>
      </c>
      <c r="C233">
        <v>-16533.79</v>
      </c>
      <c r="D233" t="s">
        <v>366</v>
      </c>
      <c r="E233">
        <v>196950</v>
      </c>
      <c r="F233">
        <v>280.65375</v>
      </c>
      <c r="G233">
        <v>181500</v>
      </c>
      <c r="H233">
        <v>258.63749999999999</v>
      </c>
      <c r="I233">
        <v>544.5</v>
      </c>
      <c r="L233" t="s">
        <v>374</v>
      </c>
      <c r="AB233" t="s">
        <v>374</v>
      </c>
    </row>
    <row r="234" spans="1:29" x14ac:dyDescent="0.25">
      <c r="A234" s="1">
        <v>232</v>
      </c>
      <c r="B234" t="s">
        <v>224</v>
      </c>
      <c r="C234">
        <f>G234-E234-F234-H234</f>
        <v>198.74769999999998</v>
      </c>
      <c r="D234" t="s">
        <v>339</v>
      </c>
      <c r="E234">
        <v>15756</v>
      </c>
      <c r="F234">
        <v>22.452300000000001</v>
      </c>
      <c r="G234">
        <v>16000</v>
      </c>
      <c r="H234">
        <v>22.8</v>
      </c>
      <c r="I234">
        <v>48</v>
      </c>
      <c r="AB234" t="s">
        <v>375</v>
      </c>
      <c r="AC234">
        <v>-20161.49698749997</v>
      </c>
    </row>
    <row r="235" spans="1:29" x14ac:dyDescent="0.25">
      <c r="A235" s="1">
        <v>233</v>
      </c>
      <c r="B235" t="s">
        <v>225</v>
      </c>
      <c r="C235">
        <v>-740.14</v>
      </c>
      <c r="D235" t="s">
        <v>360</v>
      </c>
      <c r="E235">
        <v>15900</v>
      </c>
      <c r="F235">
        <v>22.657499999999999</v>
      </c>
      <c r="G235">
        <v>15250</v>
      </c>
      <c r="H235">
        <v>21.731249999999999</v>
      </c>
      <c r="I235">
        <v>45.75</v>
      </c>
      <c r="M235" t="s">
        <v>374</v>
      </c>
      <c r="AB235" t="s">
        <v>374</v>
      </c>
    </row>
    <row r="236" spans="1:29" x14ac:dyDescent="0.25">
      <c r="A236" s="1">
        <v>234</v>
      </c>
      <c r="B236" t="s">
        <v>226</v>
      </c>
      <c r="C236">
        <f>G236-E236-F236-H236</f>
        <v>-585.39999999999964</v>
      </c>
      <c r="D236" t="s">
        <v>339</v>
      </c>
      <c r="E236">
        <v>8625.4</v>
      </c>
      <c r="F236">
        <v>20</v>
      </c>
      <c r="G236">
        <v>8080</v>
      </c>
      <c r="H236">
        <v>20</v>
      </c>
      <c r="I236">
        <v>24.24</v>
      </c>
      <c r="AB236" t="s">
        <v>375</v>
      </c>
      <c r="AC236">
        <v>-11516.09698749997</v>
      </c>
    </row>
    <row r="237" spans="1:29" x14ac:dyDescent="0.25">
      <c r="A237" s="1">
        <v>235</v>
      </c>
      <c r="B237" t="s">
        <v>227</v>
      </c>
      <c r="C237">
        <v>-833</v>
      </c>
      <c r="D237" t="s">
        <v>344</v>
      </c>
      <c r="E237">
        <v>11261.5</v>
      </c>
      <c r="F237">
        <v>20</v>
      </c>
      <c r="G237">
        <v>10500</v>
      </c>
      <c r="H237">
        <v>20</v>
      </c>
      <c r="I237">
        <v>31.5</v>
      </c>
      <c r="L237" t="s">
        <v>374</v>
      </c>
      <c r="AB237" t="s">
        <v>374</v>
      </c>
    </row>
    <row r="238" spans="1:29" x14ac:dyDescent="0.25">
      <c r="A238" s="1">
        <v>236</v>
      </c>
      <c r="B238" t="s">
        <v>123</v>
      </c>
      <c r="C238">
        <v>-1679.92</v>
      </c>
      <c r="D238" t="s">
        <v>360</v>
      </c>
      <c r="E238">
        <v>40400</v>
      </c>
      <c r="F238">
        <v>57.57</v>
      </c>
      <c r="G238">
        <v>38950</v>
      </c>
      <c r="H238">
        <v>55.503749999999997</v>
      </c>
      <c r="I238">
        <v>116.85</v>
      </c>
      <c r="L238" t="s">
        <v>374</v>
      </c>
      <c r="AB238" t="s">
        <v>374</v>
      </c>
    </row>
    <row r="239" spans="1:29" x14ac:dyDescent="0.25">
      <c r="A239" s="1">
        <v>237</v>
      </c>
      <c r="B239" t="s">
        <v>167</v>
      </c>
      <c r="C239">
        <v>-2419.85</v>
      </c>
      <c r="D239" t="s">
        <v>344</v>
      </c>
      <c r="E239">
        <v>46308.5</v>
      </c>
      <c r="F239">
        <v>65.989612500000007</v>
      </c>
      <c r="G239">
        <v>44150</v>
      </c>
      <c r="H239">
        <v>62.91375</v>
      </c>
      <c r="I239">
        <v>132.44999999999999</v>
      </c>
      <c r="L239" t="s">
        <v>374</v>
      </c>
      <c r="AB239" t="s">
        <v>374</v>
      </c>
    </row>
    <row r="240" spans="1:29" x14ac:dyDescent="0.25">
      <c r="A240" s="1">
        <v>238</v>
      </c>
      <c r="B240" t="s">
        <v>228</v>
      </c>
      <c r="C240">
        <v>-1041.5999999999999</v>
      </c>
      <c r="D240" t="s">
        <v>338</v>
      </c>
      <c r="E240">
        <v>8180</v>
      </c>
      <c r="F240">
        <v>20</v>
      </c>
      <c r="G240">
        <v>7200</v>
      </c>
      <c r="H240">
        <v>20</v>
      </c>
      <c r="I240">
        <v>21.6</v>
      </c>
      <c r="N240" t="s">
        <v>374</v>
      </c>
      <c r="AB240" t="s">
        <v>374</v>
      </c>
    </row>
    <row r="241" spans="1:29" x14ac:dyDescent="0.25">
      <c r="A241" s="1">
        <v>239</v>
      </c>
      <c r="B241" t="s">
        <v>229</v>
      </c>
      <c r="C241">
        <v>1157.8900000000001</v>
      </c>
      <c r="D241" t="s">
        <v>341</v>
      </c>
      <c r="E241">
        <v>3757.2</v>
      </c>
      <c r="F241">
        <v>20</v>
      </c>
      <c r="G241">
        <v>4970</v>
      </c>
      <c r="H241">
        <v>20</v>
      </c>
      <c r="I241">
        <v>14.91</v>
      </c>
      <c r="N241" t="s">
        <v>374</v>
      </c>
      <c r="AB241" t="s">
        <v>374</v>
      </c>
    </row>
    <row r="242" spans="1:29" x14ac:dyDescent="0.25">
      <c r="A242" s="1">
        <v>240</v>
      </c>
      <c r="B242" t="s">
        <v>169</v>
      </c>
      <c r="C242">
        <v>-597.85</v>
      </c>
      <c r="D242" t="s">
        <v>337</v>
      </c>
      <c r="E242">
        <v>6490</v>
      </c>
      <c r="F242">
        <v>20</v>
      </c>
      <c r="G242">
        <v>5950</v>
      </c>
      <c r="H242">
        <v>20</v>
      </c>
      <c r="I242">
        <v>17.850000000000001</v>
      </c>
      <c r="O242" t="s">
        <v>374</v>
      </c>
      <c r="AB242" t="s">
        <v>374</v>
      </c>
    </row>
    <row r="243" spans="1:29" x14ac:dyDescent="0.25">
      <c r="A243" s="1">
        <v>241</v>
      </c>
      <c r="B243" t="s">
        <v>176</v>
      </c>
      <c r="C243">
        <v>-76</v>
      </c>
      <c r="D243" t="s">
        <v>344</v>
      </c>
      <c r="E243">
        <v>12000</v>
      </c>
      <c r="F243">
        <v>20</v>
      </c>
      <c r="G243">
        <v>12000</v>
      </c>
      <c r="H243">
        <v>20</v>
      </c>
      <c r="I243">
        <v>36</v>
      </c>
      <c r="O243" t="s">
        <v>374</v>
      </c>
      <c r="AB243" t="s">
        <v>374</v>
      </c>
    </row>
    <row r="244" spans="1:29" x14ac:dyDescent="0.25">
      <c r="A244" s="1">
        <v>242</v>
      </c>
      <c r="B244" t="s">
        <v>230</v>
      </c>
      <c r="C244">
        <v>-4382.66</v>
      </c>
      <c r="D244" t="s">
        <v>345</v>
      </c>
      <c r="E244">
        <v>34400</v>
      </c>
      <c r="F244">
        <v>49.02</v>
      </c>
      <c r="G244">
        <v>30200</v>
      </c>
      <c r="H244">
        <v>43.034999999999997</v>
      </c>
      <c r="I244">
        <v>90.6</v>
      </c>
      <c r="J244" t="s">
        <v>374</v>
      </c>
      <c r="AB244" t="s">
        <v>374</v>
      </c>
    </row>
    <row r="245" spans="1:29" x14ac:dyDescent="0.25">
      <c r="A245" s="1">
        <v>243</v>
      </c>
      <c r="B245" t="s">
        <v>231</v>
      </c>
      <c r="C245">
        <v>-1401.29</v>
      </c>
      <c r="D245" t="s">
        <v>366</v>
      </c>
      <c r="E245">
        <v>11261.5</v>
      </c>
      <c r="F245">
        <v>20</v>
      </c>
      <c r="G245">
        <v>9930</v>
      </c>
      <c r="H245">
        <v>20</v>
      </c>
      <c r="I245">
        <v>29.79</v>
      </c>
      <c r="L245" t="s">
        <v>374</v>
      </c>
      <c r="AB245" t="s">
        <v>374</v>
      </c>
    </row>
    <row r="246" spans="1:29" x14ac:dyDescent="0.25">
      <c r="A246" s="1">
        <v>244</v>
      </c>
      <c r="B246" t="s">
        <v>232</v>
      </c>
      <c r="C246">
        <v>304.74</v>
      </c>
      <c r="D246" t="s">
        <v>360</v>
      </c>
      <c r="E246">
        <v>33000</v>
      </c>
      <c r="F246">
        <v>47.024999999999999</v>
      </c>
      <c r="G246">
        <v>33500</v>
      </c>
      <c r="H246">
        <v>47.737499999999997</v>
      </c>
      <c r="I246">
        <v>100.5</v>
      </c>
      <c r="L246" t="s">
        <v>374</v>
      </c>
      <c r="AB246" t="s">
        <v>374</v>
      </c>
    </row>
    <row r="247" spans="1:29" x14ac:dyDescent="0.25">
      <c r="A247" s="1">
        <v>245</v>
      </c>
      <c r="B247" t="s">
        <v>233</v>
      </c>
      <c r="C247">
        <v>-6133.6</v>
      </c>
      <c r="D247" t="s">
        <v>345</v>
      </c>
      <c r="E247">
        <v>60903</v>
      </c>
      <c r="F247">
        <v>86.786775000000006</v>
      </c>
      <c r="G247">
        <v>55100</v>
      </c>
      <c r="H247">
        <v>78.517499999999998</v>
      </c>
      <c r="I247">
        <v>165.3</v>
      </c>
      <c r="L247" t="s">
        <v>374</v>
      </c>
      <c r="AB247" t="s">
        <v>374</v>
      </c>
    </row>
    <row r="248" spans="1:29" x14ac:dyDescent="0.25">
      <c r="A248" s="1">
        <v>246</v>
      </c>
      <c r="B248" t="s">
        <v>234</v>
      </c>
      <c r="C248">
        <f>G248-E248-F248-H248</f>
        <v>-1340</v>
      </c>
      <c r="D248" t="s">
        <v>366</v>
      </c>
      <c r="E248">
        <v>11200</v>
      </c>
      <c r="F248">
        <v>20</v>
      </c>
      <c r="G248">
        <v>9900</v>
      </c>
      <c r="H248">
        <v>20</v>
      </c>
      <c r="I248">
        <v>29.7</v>
      </c>
      <c r="AB248" t="s">
        <v>375</v>
      </c>
      <c r="AC248">
        <v>-80049.130737499974</v>
      </c>
    </row>
    <row r="249" spans="1:29" x14ac:dyDescent="0.25">
      <c r="A249" s="1">
        <v>247</v>
      </c>
      <c r="B249" t="s">
        <v>133</v>
      </c>
      <c r="C249">
        <v>-793.83</v>
      </c>
      <c r="D249" t="s">
        <v>345</v>
      </c>
      <c r="E249">
        <v>7443.7</v>
      </c>
      <c r="F249">
        <v>20</v>
      </c>
      <c r="G249">
        <v>6710</v>
      </c>
      <c r="H249">
        <v>20</v>
      </c>
      <c r="I249">
        <v>20.13</v>
      </c>
      <c r="L249" t="s">
        <v>374</v>
      </c>
      <c r="AB249" t="s">
        <v>374</v>
      </c>
    </row>
    <row r="250" spans="1:29" x14ac:dyDescent="0.25">
      <c r="A250" s="1">
        <v>248</v>
      </c>
      <c r="B250" t="s">
        <v>235</v>
      </c>
      <c r="C250">
        <f t="shared" ref="C250:C251" si="1">G250-E250-F250-H250</f>
        <v>-1410.91875</v>
      </c>
      <c r="D250" t="s">
        <v>340</v>
      </c>
      <c r="E250">
        <v>22050</v>
      </c>
      <c r="F250">
        <v>31.421250000000001</v>
      </c>
      <c r="G250">
        <v>20700</v>
      </c>
      <c r="H250">
        <v>29.497499999999999</v>
      </c>
      <c r="I250">
        <v>62.1</v>
      </c>
      <c r="AB250" t="s">
        <v>375</v>
      </c>
      <c r="AC250">
        <v>-59411.650737499978</v>
      </c>
    </row>
    <row r="251" spans="1:29" x14ac:dyDescent="0.25">
      <c r="A251" s="1">
        <v>249</v>
      </c>
      <c r="B251" t="s">
        <v>236</v>
      </c>
      <c r="C251">
        <f t="shared" si="1"/>
        <v>6202.4975000000004</v>
      </c>
      <c r="D251" t="s">
        <v>348</v>
      </c>
      <c r="E251">
        <v>13050</v>
      </c>
      <c r="F251">
        <v>20</v>
      </c>
      <c r="G251">
        <v>19300</v>
      </c>
      <c r="H251">
        <v>27.502500000000001</v>
      </c>
      <c r="I251">
        <v>57.9</v>
      </c>
      <c r="AB251" t="s">
        <v>375</v>
      </c>
      <c r="AC251">
        <v>-59411.650737499978</v>
      </c>
    </row>
    <row r="252" spans="1:29" x14ac:dyDescent="0.25">
      <c r="A252" s="1">
        <v>250</v>
      </c>
      <c r="B252" t="s">
        <v>237</v>
      </c>
      <c r="C252">
        <v>-1951.06</v>
      </c>
      <c r="D252" t="s">
        <v>345</v>
      </c>
      <c r="E252">
        <v>16463</v>
      </c>
      <c r="F252">
        <v>23.459775</v>
      </c>
      <c r="G252">
        <v>14600</v>
      </c>
      <c r="H252">
        <v>20.805</v>
      </c>
      <c r="I252">
        <v>43.8</v>
      </c>
      <c r="P252" t="s">
        <v>374</v>
      </c>
      <c r="AB252" t="s">
        <v>374</v>
      </c>
    </row>
    <row r="253" spans="1:29" x14ac:dyDescent="0.25">
      <c r="A253" s="1">
        <v>251</v>
      </c>
      <c r="B253" t="s">
        <v>238</v>
      </c>
      <c r="C253">
        <v>-226.15</v>
      </c>
      <c r="D253" t="s">
        <v>340</v>
      </c>
      <c r="E253">
        <v>6716.5</v>
      </c>
      <c r="F253">
        <v>20</v>
      </c>
      <c r="G253">
        <v>6550</v>
      </c>
      <c r="H253">
        <v>20</v>
      </c>
      <c r="I253">
        <v>19.649999999999999</v>
      </c>
      <c r="L253" t="s">
        <v>374</v>
      </c>
      <c r="AB253" t="s">
        <v>374</v>
      </c>
    </row>
    <row r="254" spans="1:29" x14ac:dyDescent="0.25">
      <c r="A254" s="1">
        <v>252</v>
      </c>
      <c r="B254" t="s">
        <v>239</v>
      </c>
      <c r="C254">
        <v>-2023.64</v>
      </c>
      <c r="D254" t="s">
        <v>360</v>
      </c>
      <c r="E254">
        <v>9840</v>
      </c>
      <c r="F254">
        <v>20</v>
      </c>
      <c r="G254">
        <v>7880</v>
      </c>
      <c r="H254">
        <v>20</v>
      </c>
      <c r="I254">
        <v>23.64</v>
      </c>
      <c r="O254" t="s">
        <v>374</v>
      </c>
      <c r="AB254" t="s">
        <v>374</v>
      </c>
    </row>
    <row r="255" spans="1:29" x14ac:dyDescent="0.25">
      <c r="A255" s="1">
        <v>253</v>
      </c>
      <c r="B255" t="s">
        <v>240</v>
      </c>
      <c r="C255">
        <v>-1273.5</v>
      </c>
      <c r="D255" t="s">
        <v>345</v>
      </c>
      <c r="E255">
        <v>5720</v>
      </c>
      <c r="F255">
        <v>20</v>
      </c>
      <c r="G255">
        <v>4500</v>
      </c>
      <c r="H255">
        <v>20</v>
      </c>
      <c r="I255">
        <v>13.5</v>
      </c>
      <c r="N255" t="s">
        <v>374</v>
      </c>
      <c r="AB255" t="s">
        <v>374</v>
      </c>
    </row>
    <row r="256" spans="1:29" x14ac:dyDescent="0.25">
      <c r="A256" s="1">
        <v>254</v>
      </c>
      <c r="B256" t="s">
        <v>241</v>
      </c>
      <c r="C256">
        <v>-1468.52</v>
      </c>
      <c r="D256" t="s">
        <v>342</v>
      </c>
      <c r="E256">
        <v>31714</v>
      </c>
      <c r="F256">
        <v>20</v>
      </c>
      <c r="G256">
        <v>30400</v>
      </c>
      <c r="H256">
        <v>43.32</v>
      </c>
      <c r="I256">
        <v>91.2</v>
      </c>
      <c r="L256" t="s">
        <v>374</v>
      </c>
      <c r="AB256" t="s">
        <v>374</v>
      </c>
    </row>
    <row r="257" spans="1:29" x14ac:dyDescent="0.25">
      <c r="A257" s="1">
        <v>255</v>
      </c>
      <c r="B257" t="s">
        <v>242</v>
      </c>
      <c r="C257">
        <v>-4069.37</v>
      </c>
      <c r="D257" t="s">
        <v>344</v>
      </c>
      <c r="E257">
        <v>132310</v>
      </c>
      <c r="F257">
        <v>188.54175000000001</v>
      </c>
      <c r="G257">
        <v>129000</v>
      </c>
      <c r="H257">
        <v>183.82499999999999</v>
      </c>
      <c r="I257">
        <v>387</v>
      </c>
      <c r="N257" t="s">
        <v>374</v>
      </c>
      <c r="AB257" t="s">
        <v>374</v>
      </c>
    </row>
    <row r="258" spans="1:29" x14ac:dyDescent="0.25">
      <c r="A258" s="1">
        <v>256</v>
      </c>
      <c r="B258" t="s">
        <v>243</v>
      </c>
      <c r="C258">
        <v>-2780.85</v>
      </c>
      <c r="D258" t="s">
        <v>344</v>
      </c>
      <c r="E258">
        <v>49900</v>
      </c>
      <c r="F258">
        <v>71.107500000000002</v>
      </c>
      <c r="G258">
        <v>47400</v>
      </c>
      <c r="H258">
        <v>67.545000000000002</v>
      </c>
      <c r="I258">
        <v>142.19999999999999</v>
      </c>
      <c r="L258" t="s">
        <v>374</v>
      </c>
      <c r="AB258" t="s">
        <v>374</v>
      </c>
    </row>
    <row r="259" spans="1:29" x14ac:dyDescent="0.25">
      <c r="A259" s="1">
        <v>257</v>
      </c>
      <c r="B259" t="s">
        <v>244</v>
      </c>
      <c r="C259">
        <v>-795.42</v>
      </c>
      <c r="D259" t="s">
        <v>338</v>
      </c>
      <c r="E259">
        <v>25350</v>
      </c>
      <c r="F259">
        <v>36.123750000000001</v>
      </c>
      <c r="G259">
        <v>24700</v>
      </c>
      <c r="H259">
        <v>35.197499999999998</v>
      </c>
      <c r="I259">
        <v>74.100000000000023</v>
      </c>
      <c r="N259" t="s">
        <v>374</v>
      </c>
      <c r="AB259" t="s">
        <v>374</v>
      </c>
    </row>
    <row r="260" spans="1:29" x14ac:dyDescent="0.25">
      <c r="A260" s="1">
        <v>258</v>
      </c>
      <c r="B260" t="s">
        <v>245</v>
      </c>
      <c r="C260">
        <v>-71.5</v>
      </c>
      <c r="D260" t="s">
        <v>337</v>
      </c>
      <c r="E260">
        <v>10500</v>
      </c>
      <c r="F260">
        <v>20</v>
      </c>
      <c r="G260">
        <v>10500</v>
      </c>
      <c r="H260">
        <v>20</v>
      </c>
      <c r="I260">
        <v>31.5</v>
      </c>
      <c r="AB260" t="s">
        <v>374</v>
      </c>
    </row>
    <row r="261" spans="1:29" x14ac:dyDescent="0.25">
      <c r="A261" s="1">
        <v>259</v>
      </c>
      <c r="B261" t="s">
        <v>246</v>
      </c>
      <c r="C261">
        <f t="shared" ref="C261:C262" si="2">G261-E261-F261-H261</f>
        <v>1703.0423250000001</v>
      </c>
      <c r="D261" t="s">
        <v>353</v>
      </c>
      <c r="E261">
        <v>15251</v>
      </c>
      <c r="F261">
        <v>21.732675</v>
      </c>
      <c r="G261">
        <v>17000</v>
      </c>
      <c r="H261">
        <v>24.225000000000001</v>
      </c>
      <c r="I261">
        <v>51</v>
      </c>
      <c r="AB261" t="s">
        <v>375</v>
      </c>
      <c r="AC261">
        <v>-146383.67306249999</v>
      </c>
    </row>
    <row r="262" spans="1:29" x14ac:dyDescent="0.25">
      <c r="A262" s="1">
        <v>260</v>
      </c>
      <c r="B262" t="s">
        <v>181</v>
      </c>
      <c r="C262">
        <f t="shared" si="2"/>
        <v>3629.4875000000002</v>
      </c>
      <c r="D262" t="s">
        <v>353</v>
      </c>
      <c r="E262">
        <v>12827</v>
      </c>
      <c r="F262">
        <v>20</v>
      </c>
      <c r="G262">
        <v>16500</v>
      </c>
      <c r="H262">
        <v>23.512499999999999</v>
      </c>
      <c r="I262">
        <v>49.5</v>
      </c>
      <c r="AB262" t="s">
        <v>375</v>
      </c>
      <c r="AC262">
        <v>-133536.67306249999</v>
      </c>
    </row>
    <row r="263" spans="1:29" x14ac:dyDescent="0.25">
      <c r="A263" s="1">
        <v>261</v>
      </c>
      <c r="B263" t="s">
        <v>247</v>
      </c>
      <c r="C263">
        <v>2625.87</v>
      </c>
      <c r="D263" t="s">
        <v>343</v>
      </c>
      <c r="E263">
        <v>61004</v>
      </c>
      <c r="F263">
        <v>86.930700000000002</v>
      </c>
      <c r="G263">
        <v>64000</v>
      </c>
      <c r="H263">
        <v>91.2</v>
      </c>
      <c r="I263">
        <v>192</v>
      </c>
      <c r="N263" t="s">
        <v>374</v>
      </c>
      <c r="AB263" t="s">
        <v>374</v>
      </c>
    </row>
    <row r="264" spans="1:29" x14ac:dyDescent="0.25">
      <c r="A264" s="1">
        <v>262</v>
      </c>
      <c r="B264" t="s">
        <v>232</v>
      </c>
      <c r="C264">
        <v>-754.75</v>
      </c>
      <c r="D264" t="s">
        <v>341</v>
      </c>
      <c r="E264">
        <v>41713</v>
      </c>
      <c r="F264">
        <v>59.441025000000003</v>
      </c>
      <c r="G264">
        <v>41200</v>
      </c>
      <c r="H264">
        <v>58.71</v>
      </c>
      <c r="I264">
        <v>123.6</v>
      </c>
      <c r="L264" t="s">
        <v>374</v>
      </c>
      <c r="AB264" t="s">
        <v>374</v>
      </c>
    </row>
    <row r="265" spans="1:29" x14ac:dyDescent="0.25">
      <c r="A265" s="1">
        <v>263</v>
      </c>
      <c r="B265" t="s">
        <v>178</v>
      </c>
      <c r="C265">
        <f t="shared" ref="C265:C266" si="3">G265-E265-F265-H265</f>
        <v>-263.07391250000001</v>
      </c>
      <c r="D265" t="s">
        <v>337</v>
      </c>
      <c r="E265">
        <v>20654.5</v>
      </c>
      <c r="F265">
        <v>29.43266250000001</v>
      </c>
      <c r="G265">
        <v>20450</v>
      </c>
      <c r="H265">
        <v>29.141249999999999</v>
      </c>
      <c r="I265">
        <v>61.35</v>
      </c>
      <c r="AB265" t="s">
        <v>375</v>
      </c>
      <c r="AC265">
        <v>-112852.7404</v>
      </c>
    </row>
    <row r="266" spans="1:29" x14ac:dyDescent="0.25">
      <c r="A266" s="1">
        <v>264</v>
      </c>
      <c r="B266" t="s">
        <v>248</v>
      </c>
      <c r="C266">
        <f t="shared" si="3"/>
        <v>1508.4112500000001</v>
      </c>
      <c r="D266" t="s">
        <v>343</v>
      </c>
      <c r="E266">
        <v>13600</v>
      </c>
      <c r="F266">
        <v>20</v>
      </c>
      <c r="G266">
        <v>15150</v>
      </c>
      <c r="H266">
        <v>21.588750000000001</v>
      </c>
      <c r="I266">
        <v>45.45</v>
      </c>
      <c r="AB266" t="s">
        <v>375</v>
      </c>
      <c r="AC266">
        <v>-99232.740399999966</v>
      </c>
    </row>
    <row r="267" spans="1:29" x14ac:dyDescent="0.25">
      <c r="A267" s="1">
        <v>265</v>
      </c>
      <c r="B267" t="s">
        <v>167</v>
      </c>
      <c r="C267">
        <v>-1907.38</v>
      </c>
      <c r="D267" t="s">
        <v>356</v>
      </c>
      <c r="E267">
        <v>51712</v>
      </c>
      <c r="F267">
        <v>73.689599999999999</v>
      </c>
      <c r="G267">
        <v>50100</v>
      </c>
      <c r="H267">
        <v>71.392499999999998</v>
      </c>
      <c r="I267">
        <v>150.30000000000001</v>
      </c>
      <c r="L267" t="s">
        <v>374</v>
      </c>
      <c r="AB267" t="s">
        <v>374</v>
      </c>
    </row>
    <row r="268" spans="1:29" x14ac:dyDescent="0.25">
      <c r="A268" s="1">
        <v>266</v>
      </c>
      <c r="B268" t="s">
        <v>157</v>
      </c>
      <c r="C268">
        <v>2765.7</v>
      </c>
      <c r="D268" t="s">
        <v>356</v>
      </c>
      <c r="E268">
        <v>54800</v>
      </c>
      <c r="F268">
        <v>78.09</v>
      </c>
      <c r="G268">
        <v>57900</v>
      </c>
      <c r="H268">
        <v>82.507500000000022</v>
      </c>
      <c r="I268">
        <v>173.7</v>
      </c>
      <c r="O268" t="s">
        <v>374</v>
      </c>
      <c r="AB268" t="s">
        <v>374</v>
      </c>
    </row>
    <row r="269" spans="1:29" x14ac:dyDescent="0.25">
      <c r="A269" s="1">
        <v>267</v>
      </c>
      <c r="B269" t="s">
        <v>203</v>
      </c>
      <c r="C269">
        <f>G269-E269-F269-H269</f>
        <v>-2016.4762500000002</v>
      </c>
      <c r="D269" t="s">
        <v>344</v>
      </c>
      <c r="E269">
        <v>24300</v>
      </c>
      <c r="F269">
        <v>34.627499999999998</v>
      </c>
      <c r="G269">
        <v>22350</v>
      </c>
      <c r="H269">
        <v>31.84875000000001</v>
      </c>
      <c r="I269">
        <v>67.05</v>
      </c>
      <c r="AB269" t="s">
        <v>375</v>
      </c>
      <c r="AC269">
        <v>-74898.112899999964</v>
      </c>
    </row>
    <row r="270" spans="1:29" x14ac:dyDescent="0.25">
      <c r="A270" s="1">
        <v>268</v>
      </c>
      <c r="B270" t="s">
        <v>249</v>
      </c>
      <c r="C270">
        <v>-1286.53</v>
      </c>
      <c r="D270" t="s">
        <v>344</v>
      </c>
      <c r="E270">
        <v>15700</v>
      </c>
      <c r="F270">
        <v>22.372499999999999</v>
      </c>
      <c r="G270">
        <v>14500</v>
      </c>
      <c r="H270">
        <v>20.662500000000001</v>
      </c>
      <c r="I270">
        <v>43.5</v>
      </c>
      <c r="J270" t="s">
        <v>374</v>
      </c>
      <c r="AB270" t="s">
        <v>374</v>
      </c>
    </row>
    <row r="271" spans="1:29" x14ac:dyDescent="0.25">
      <c r="A271" s="1">
        <v>269</v>
      </c>
      <c r="B271" t="s">
        <v>234</v>
      </c>
      <c r="C271">
        <v>-1048.6500000000001</v>
      </c>
      <c r="D271" t="s">
        <v>344</v>
      </c>
      <c r="E271">
        <v>12524</v>
      </c>
      <c r="F271">
        <v>20</v>
      </c>
      <c r="G271">
        <v>11550</v>
      </c>
      <c r="H271">
        <v>20</v>
      </c>
      <c r="I271">
        <v>34.65</v>
      </c>
      <c r="L271" t="s">
        <v>374</v>
      </c>
      <c r="AB271" t="s">
        <v>374</v>
      </c>
    </row>
    <row r="272" spans="1:29" x14ac:dyDescent="0.25">
      <c r="A272" s="1">
        <v>270</v>
      </c>
      <c r="B272" t="s">
        <v>133</v>
      </c>
      <c r="C272">
        <f>G272-E272-F272-H272</f>
        <v>-600</v>
      </c>
      <c r="D272" t="s">
        <v>338</v>
      </c>
      <c r="E272">
        <v>8730</v>
      </c>
      <c r="F272">
        <v>20</v>
      </c>
      <c r="G272">
        <v>8170</v>
      </c>
      <c r="H272">
        <v>20</v>
      </c>
      <c r="I272">
        <v>24.51</v>
      </c>
      <c r="AB272" t="s">
        <v>375</v>
      </c>
      <c r="AC272">
        <v>-66148.112899999964</v>
      </c>
    </row>
    <row r="273" spans="1:29" x14ac:dyDescent="0.25">
      <c r="A273" s="1">
        <v>271</v>
      </c>
      <c r="B273" t="s">
        <v>89</v>
      </c>
      <c r="C273">
        <v>-675.57</v>
      </c>
      <c r="D273" t="s">
        <v>344</v>
      </c>
      <c r="E273">
        <v>9100.0999999999894</v>
      </c>
      <c r="F273">
        <v>20</v>
      </c>
      <c r="G273">
        <v>8490</v>
      </c>
      <c r="H273">
        <v>20</v>
      </c>
      <c r="I273">
        <v>25.47</v>
      </c>
      <c r="L273" t="s">
        <v>374</v>
      </c>
      <c r="AB273" t="s">
        <v>374</v>
      </c>
    </row>
    <row r="274" spans="1:29" x14ac:dyDescent="0.25">
      <c r="A274" s="1">
        <v>272</v>
      </c>
      <c r="B274" t="s">
        <v>250</v>
      </c>
      <c r="C274">
        <v>59.75</v>
      </c>
      <c r="D274" t="s">
        <v>343</v>
      </c>
      <c r="E274">
        <v>11615</v>
      </c>
      <c r="F274">
        <v>20</v>
      </c>
      <c r="G274">
        <v>11750</v>
      </c>
      <c r="H274">
        <v>20</v>
      </c>
      <c r="I274">
        <v>35.25</v>
      </c>
      <c r="L274" t="s">
        <v>374</v>
      </c>
      <c r="AB274" t="s">
        <v>374</v>
      </c>
    </row>
    <row r="275" spans="1:29" x14ac:dyDescent="0.25">
      <c r="A275" s="1">
        <v>273</v>
      </c>
      <c r="B275" t="s">
        <v>103</v>
      </c>
      <c r="C275">
        <f t="shared" ref="C275:C276" si="4">G275-E275-F275-H275</f>
        <v>-384.15742500000005</v>
      </c>
      <c r="D275" t="s">
        <v>338</v>
      </c>
      <c r="E275">
        <v>22321</v>
      </c>
      <c r="F275">
        <v>31.807424999999999</v>
      </c>
      <c r="G275">
        <v>22000</v>
      </c>
      <c r="H275">
        <v>31.35</v>
      </c>
      <c r="I275">
        <v>66</v>
      </c>
      <c r="AB275" t="s">
        <v>375</v>
      </c>
      <c r="AC275">
        <v>-6442.1529749999636</v>
      </c>
    </row>
    <row r="276" spans="1:29" x14ac:dyDescent="0.25">
      <c r="A276" s="1">
        <v>274</v>
      </c>
      <c r="B276" t="s">
        <v>251</v>
      </c>
      <c r="C276">
        <f t="shared" si="4"/>
        <v>-2203.3125</v>
      </c>
      <c r="D276" t="s">
        <v>338</v>
      </c>
      <c r="E276">
        <v>37300</v>
      </c>
      <c r="F276">
        <v>53.152500000000003</v>
      </c>
      <c r="G276">
        <v>35200</v>
      </c>
      <c r="H276">
        <v>50.16</v>
      </c>
      <c r="I276">
        <v>105.6</v>
      </c>
      <c r="AB276" t="s">
        <v>375</v>
      </c>
      <c r="AC276">
        <v>-6442.1529749999636</v>
      </c>
    </row>
    <row r="277" spans="1:29" x14ac:dyDescent="0.25">
      <c r="A277" s="1">
        <v>275</v>
      </c>
      <c r="B277" t="s">
        <v>252</v>
      </c>
      <c r="C277">
        <v>-1998.49</v>
      </c>
      <c r="D277" t="s">
        <v>366</v>
      </c>
      <c r="E277">
        <v>43800</v>
      </c>
      <c r="F277">
        <v>62.414999999999999</v>
      </c>
      <c r="G277">
        <v>42050</v>
      </c>
      <c r="H277">
        <v>59.921250000000001</v>
      </c>
      <c r="I277">
        <v>126.15</v>
      </c>
      <c r="L277" t="s">
        <v>374</v>
      </c>
      <c r="AB277" t="s">
        <v>374</v>
      </c>
    </row>
    <row r="278" spans="1:29" x14ac:dyDescent="0.25">
      <c r="A278" s="1">
        <v>276</v>
      </c>
      <c r="B278" t="s">
        <v>253</v>
      </c>
      <c r="C278">
        <v>13673.15</v>
      </c>
      <c r="D278" t="s">
        <v>348</v>
      </c>
      <c r="E278">
        <v>62300</v>
      </c>
      <c r="F278">
        <v>88.777500000000003</v>
      </c>
      <c r="G278">
        <v>76400</v>
      </c>
      <c r="H278">
        <v>108.87</v>
      </c>
      <c r="I278">
        <v>229.2</v>
      </c>
      <c r="L278" t="s">
        <v>374</v>
      </c>
      <c r="AB278" t="s">
        <v>374</v>
      </c>
    </row>
    <row r="279" spans="1:29" x14ac:dyDescent="0.25">
      <c r="A279" s="1">
        <v>277</v>
      </c>
      <c r="B279" t="s">
        <v>254</v>
      </c>
      <c r="C279">
        <v>-435.88</v>
      </c>
      <c r="D279" t="s">
        <v>345</v>
      </c>
      <c r="E279">
        <v>21412</v>
      </c>
      <c r="F279">
        <v>30.5121</v>
      </c>
      <c r="G279">
        <v>21100</v>
      </c>
      <c r="H279">
        <v>30.06750000000001</v>
      </c>
      <c r="I279">
        <v>63.3</v>
      </c>
      <c r="L279" t="s">
        <v>374</v>
      </c>
      <c r="AB279" t="s">
        <v>374</v>
      </c>
    </row>
    <row r="280" spans="1:29" x14ac:dyDescent="0.25">
      <c r="A280" s="1">
        <v>278</v>
      </c>
      <c r="B280" t="s">
        <v>255</v>
      </c>
      <c r="C280">
        <v>-7058.56</v>
      </c>
      <c r="D280" t="s">
        <v>339</v>
      </c>
      <c r="E280">
        <v>69084</v>
      </c>
      <c r="F280">
        <v>98.444699999999997</v>
      </c>
      <c r="G280">
        <v>62400</v>
      </c>
      <c r="H280">
        <v>88.92</v>
      </c>
      <c r="I280">
        <v>187.2</v>
      </c>
      <c r="P280" t="s">
        <v>374</v>
      </c>
      <c r="AB280" t="s">
        <v>374</v>
      </c>
    </row>
    <row r="281" spans="1:29" x14ac:dyDescent="0.25">
      <c r="A281" s="1">
        <v>279</v>
      </c>
      <c r="B281" t="s">
        <v>212</v>
      </c>
      <c r="C281">
        <v>-12553.43</v>
      </c>
      <c r="D281" t="s">
        <v>340</v>
      </c>
      <c r="E281">
        <v>228765</v>
      </c>
      <c r="F281">
        <v>325.99012500000009</v>
      </c>
      <c r="G281">
        <v>217500</v>
      </c>
      <c r="H281">
        <v>309.9375</v>
      </c>
      <c r="I281">
        <v>652.5</v>
      </c>
      <c r="AB281" t="s">
        <v>374</v>
      </c>
    </row>
    <row r="282" spans="1:29" x14ac:dyDescent="0.25">
      <c r="A282" s="1">
        <v>280</v>
      </c>
      <c r="B282" t="s">
        <v>150</v>
      </c>
      <c r="C282">
        <v>-35881.919999999998</v>
      </c>
      <c r="D282" t="s">
        <v>344</v>
      </c>
      <c r="E282">
        <v>287850</v>
      </c>
      <c r="F282">
        <v>410.18624999999997</v>
      </c>
      <c r="G282">
        <v>253500</v>
      </c>
      <c r="H282">
        <v>361.23750000000001</v>
      </c>
      <c r="I282">
        <v>760.5</v>
      </c>
      <c r="AB282" t="s">
        <v>374</v>
      </c>
    </row>
    <row r="283" spans="1:29" x14ac:dyDescent="0.25">
      <c r="A283" s="1">
        <v>281</v>
      </c>
      <c r="B283" t="s">
        <v>187</v>
      </c>
      <c r="C283">
        <v>-1814.81</v>
      </c>
      <c r="D283" t="s">
        <v>344</v>
      </c>
      <c r="E283">
        <v>23634</v>
      </c>
      <c r="F283">
        <v>33.678449999999998</v>
      </c>
      <c r="G283">
        <v>21950</v>
      </c>
      <c r="H283">
        <v>31.278749999999999</v>
      </c>
      <c r="I283">
        <v>65.849999999999994</v>
      </c>
      <c r="AA283" t="s">
        <v>374</v>
      </c>
      <c r="AB283" t="s">
        <v>374</v>
      </c>
    </row>
    <row r="284" spans="1:29" x14ac:dyDescent="0.25">
      <c r="A284" s="1">
        <v>282</v>
      </c>
      <c r="B284" t="s">
        <v>256</v>
      </c>
      <c r="C284">
        <v>-1706.51</v>
      </c>
      <c r="D284" t="s">
        <v>338</v>
      </c>
      <c r="E284">
        <v>35754</v>
      </c>
      <c r="F284">
        <v>50.949449999999999</v>
      </c>
      <c r="G284">
        <v>34250</v>
      </c>
      <c r="H284">
        <v>48.806249999999999</v>
      </c>
      <c r="I284">
        <v>102.75</v>
      </c>
      <c r="L284" t="s">
        <v>374</v>
      </c>
      <c r="AB284" t="s">
        <v>374</v>
      </c>
    </row>
    <row r="285" spans="1:29" x14ac:dyDescent="0.25">
      <c r="A285" s="1">
        <v>283</v>
      </c>
      <c r="B285" t="s">
        <v>257</v>
      </c>
      <c r="C285">
        <v>-635.98</v>
      </c>
      <c r="D285" t="s">
        <v>344</v>
      </c>
      <c r="E285">
        <v>24644</v>
      </c>
      <c r="F285">
        <v>35.117699999999999</v>
      </c>
      <c r="G285">
        <v>24150</v>
      </c>
      <c r="H285">
        <v>34.41375</v>
      </c>
      <c r="I285">
        <v>72.45</v>
      </c>
      <c r="L285" t="s">
        <v>374</v>
      </c>
      <c r="AB285" t="s">
        <v>374</v>
      </c>
    </row>
    <row r="286" spans="1:29" x14ac:dyDescent="0.25">
      <c r="A286" s="1">
        <v>284</v>
      </c>
      <c r="B286" t="s">
        <v>226</v>
      </c>
      <c r="C286">
        <v>808.56</v>
      </c>
      <c r="D286" t="s">
        <v>356</v>
      </c>
      <c r="E286">
        <v>14950</v>
      </c>
      <c r="F286">
        <v>21.303750000000001</v>
      </c>
      <c r="G286">
        <v>15850</v>
      </c>
      <c r="H286">
        <v>22.58625</v>
      </c>
      <c r="I286">
        <v>47.55</v>
      </c>
      <c r="O286" t="s">
        <v>374</v>
      </c>
      <c r="AB286" t="s">
        <v>374</v>
      </c>
    </row>
    <row r="287" spans="1:29" x14ac:dyDescent="0.25">
      <c r="A287" s="1">
        <v>285</v>
      </c>
      <c r="B287" t="s">
        <v>258</v>
      </c>
      <c r="C287">
        <f>G287-E287-F287-H287</f>
        <v>1608.407825</v>
      </c>
      <c r="D287" t="s">
        <v>336</v>
      </c>
      <c r="E287">
        <v>34441</v>
      </c>
      <c r="F287">
        <v>49.078425000000003</v>
      </c>
      <c r="G287">
        <v>36150</v>
      </c>
      <c r="H287">
        <v>51.513750000000002</v>
      </c>
      <c r="I287">
        <v>108.45</v>
      </c>
      <c r="AB287" t="s">
        <v>375</v>
      </c>
      <c r="AC287">
        <v>-129474.36079999999</v>
      </c>
    </row>
    <row r="288" spans="1:29" x14ac:dyDescent="0.25">
      <c r="A288" s="1">
        <v>286</v>
      </c>
      <c r="B288" t="s">
        <v>259</v>
      </c>
      <c r="C288">
        <v>-880.52</v>
      </c>
      <c r="D288" t="s">
        <v>345</v>
      </c>
      <c r="E288">
        <v>18028.5</v>
      </c>
      <c r="F288">
        <v>25.6906125</v>
      </c>
      <c r="G288">
        <v>17250</v>
      </c>
      <c r="H288">
        <v>24.581250000000001</v>
      </c>
      <c r="I288">
        <v>51.75</v>
      </c>
      <c r="L288" t="s">
        <v>374</v>
      </c>
      <c r="AB288" t="s">
        <v>374</v>
      </c>
    </row>
    <row r="289" spans="1:28" x14ac:dyDescent="0.25">
      <c r="A289" s="1">
        <v>287</v>
      </c>
      <c r="B289" t="s">
        <v>105</v>
      </c>
      <c r="C289">
        <v>372.87</v>
      </c>
      <c r="D289" t="s">
        <v>359</v>
      </c>
      <c r="E289">
        <v>14291.5</v>
      </c>
      <c r="F289">
        <v>20.365387500000001</v>
      </c>
      <c r="G289">
        <v>14750</v>
      </c>
      <c r="H289">
        <v>21.018750000000001</v>
      </c>
      <c r="I289">
        <v>44.25</v>
      </c>
      <c r="L289" t="s">
        <v>374</v>
      </c>
      <c r="AB289" t="s">
        <v>374</v>
      </c>
    </row>
    <row r="290" spans="1:28" x14ac:dyDescent="0.25">
      <c r="A290" s="1">
        <v>288</v>
      </c>
      <c r="B290" t="s">
        <v>108</v>
      </c>
      <c r="C290">
        <v>-25862.9</v>
      </c>
      <c r="D290" t="s">
        <v>366</v>
      </c>
      <c r="E290">
        <v>157055</v>
      </c>
      <c r="F290">
        <v>223.80337499999999</v>
      </c>
      <c r="G290">
        <v>132000</v>
      </c>
      <c r="H290">
        <v>188.1</v>
      </c>
      <c r="I290">
        <v>396</v>
      </c>
      <c r="L290" t="s">
        <v>374</v>
      </c>
      <c r="AB290" t="s">
        <v>374</v>
      </c>
    </row>
    <row r="291" spans="1:28" x14ac:dyDescent="0.25">
      <c r="A291" s="1">
        <v>289</v>
      </c>
      <c r="B291" t="s">
        <v>260</v>
      </c>
      <c r="C291">
        <v>2479.2600000000002</v>
      </c>
      <c r="D291" t="s">
        <v>343</v>
      </c>
      <c r="E291">
        <v>159075</v>
      </c>
      <c r="F291">
        <v>226.68187499999999</v>
      </c>
      <c r="G291">
        <v>162500</v>
      </c>
      <c r="H291">
        <v>231.5625</v>
      </c>
      <c r="I291">
        <v>487.5</v>
      </c>
      <c r="AB291" t="s">
        <v>374</v>
      </c>
    </row>
    <row r="292" spans="1:28" x14ac:dyDescent="0.25">
      <c r="A292" s="1">
        <v>290</v>
      </c>
      <c r="B292" t="s">
        <v>129</v>
      </c>
      <c r="C292">
        <v>-482.1</v>
      </c>
      <c r="D292" t="s">
        <v>341</v>
      </c>
      <c r="E292">
        <v>14847</v>
      </c>
      <c r="F292">
        <v>21.156974999999999</v>
      </c>
      <c r="G292">
        <v>14450</v>
      </c>
      <c r="H292">
        <v>20.591249999999999</v>
      </c>
      <c r="I292">
        <v>43.35</v>
      </c>
      <c r="L292" t="s">
        <v>374</v>
      </c>
      <c r="AB292" t="s">
        <v>374</v>
      </c>
    </row>
    <row r="293" spans="1:28" x14ac:dyDescent="0.25">
      <c r="A293" s="1">
        <v>291</v>
      </c>
      <c r="B293" t="s">
        <v>137</v>
      </c>
      <c r="C293">
        <v>-609.1</v>
      </c>
      <c r="D293" t="s">
        <v>337</v>
      </c>
      <c r="E293">
        <v>13231</v>
      </c>
      <c r="F293">
        <v>20</v>
      </c>
      <c r="G293">
        <v>12700</v>
      </c>
      <c r="H293">
        <v>20</v>
      </c>
      <c r="I293">
        <v>38.1</v>
      </c>
      <c r="L293" t="s">
        <v>374</v>
      </c>
      <c r="AB293" t="s">
        <v>374</v>
      </c>
    </row>
    <row r="294" spans="1:28" x14ac:dyDescent="0.25">
      <c r="A294" s="1">
        <v>292</v>
      </c>
      <c r="B294" t="s">
        <v>261</v>
      </c>
      <c r="C294">
        <v>352.84</v>
      </c>
      <c r="D294" t="s">
        <v>342</v>
      </c>
      <c r="E294">
        <v>18735.5</v>
      </c>
      <c r="F294">
        <v>26.6980875</v>
      </c>
      <c r="G294">
        <v>19200</v>
      </c>
      <c r="H294">
        <v>27.36</v>
      </c>
      <c r="I294">
        <v>57.6</v>
      </c>
      <c r="L294" t="s">
        <v>374</v>
      </c>
      <c r="AB294" t="s">
        <v>374</v>
      </c>
    </row>
    <row r="295" spans="1:28" x14ac:dyDescent="0.25">
      <c r="A295" s="1">
        <v>293</v>
      </c>
      <c r="B295" t="s">
        <v>262</v>
      </c>
      <c r="C295">
        <v>24502.82</v>
      </c>
      <c r="D295" t="s">
        <v>368</v>
      </c>
      <c r="E295">
        <v>119685</v>
      </c>
      <c r="F295">
        <v>170.55112500000001</v>
      </c>
      <c r="G295">
        <v>145000</v>
      </c>
      <c r="H295">
        <v>206.625</v>
      </c>
      <c r="I295">
        <v>435</v>
      </c>
      <c r="L295" t="s">
        <v>374</v>
      </c>
      <c r="AB295" t="s">
        <v>374</v>
      </c>
    </row>
    <row r="296" spans="1:28" x14ac:dyDescent="0.25">
      <c r="A296" s="1">
        <v>294</v>
      </c>
      <c r="B296" t="s">
        <v>263</v>
      </c>
      <c r="C296">
        <v>3615.66</v>
      </c>
      <c r="D296" t="s">
        <v>361</v>
      </c>
      <c r="E296">
        <v>39187.999999999898</v>
      </c>
      <c r="F296">
        <v>55.842899999999993</v>
      </c>
      <c r="G296">
        <v>43050</v>
      </c>
      <c r="H296">
        <v>61.346250000000012</v>
      </c>
      <c r="I296">
        <v>129.15</v>
      </c>
      <c r="M296" t="s">
        <v>374</v>
      </c>
      <c r="AB296" t="s">
        <v>374</v>
      </c>
    </row>
    <row r="297" spans="1:28" x14ac:dyDescent="0.25">
      <c r="A297" s="1">
        <v>295</v>
      </c>
      <c r="B297" t="s">
        <v>264</v>
      </c>
      <c r="C297">
        <v>-928.96</v>
      </c>
      <c r="D297" t="s">
        <v>344</v>
      </c>
      <c r="E297">
        <v>22650</v>
      </c>
      <c r="F297">
        <v>32.276249999999997</v>
      </c>
      <c r="G297">
        <v>21850</v>
      </c>
      <c r="H297">
        <v>31.13625</v>
      </c>
      <c r="I297">
        <v>65.55</v>
      </c>
      <c r="M297" t="s">
        <v>374</v>
      </c>
      <c r="AB297" t="s">
        <v>374</v>
      </c>
    </row>
    <row r="298" spans="1:28" x14ac:dyDescent="0.25">
      <c r="A298" s="1">
        <v>296</v>
      </c>
      <c r="B298" t="s">
        <v>265</v>
      </c>
      <c r="C298">
        <v>4134.7700000000004</v>
      </c>
      <c r="D298" t="s">
        <v>342</v>
      </c>
      <c r="E298">
        <v>12322</v>
      </c>
      <c r="F298">
        <v>20</v>
      </c>
      <c r="G298">
        <v>16550</v>
      </c>
      <c r="H298">
        <v>23.583749999999998</v>
      </c>
      <c r="I298">
        <v>49.65</v>
      </c>
      <c r="N298" t="s">
        <v>374</v>
      </c>
      <c r="AB298" t="s">
        <v>374</v>
      </c>
    </row>
    <row r="299" spans="1:28" x14ac:dyDescent="0.25">
      <c r="A299" s="1">
        <v>297</v>
      </c>
      <c r="B299" t="s">
        <v>266</v>
      </c>
      <c r="C299">
        <v>1531.09</v>
      </c>
      <c r="D299" t="s">
        <v>356</v>
      </c>
      <c r="E299">
        <v>29290</v>
      </c>
      <c r="F299">
        <v>41.738250000000001</v>
      </c>
      <c r="G299">
        <v>31000</v>
      </c>
      <c r="H299">
        <v>44.174999999999997</v>
      </c>
      <c r="I299">
        <v>93</v>
      </c>
      <c r="L299" t="s">
        <v>374</v>
      </c>
      <c r="AB299" t="s">
        <v>374</v>
      </c>
    </row>
    <row r="300" spans="1:28" x14ac:dyDescent="0.25">
      <c r="A300" s="1">
        <v>298</v>
      </c>
      <c r="B300" t="s">
        <v>267</v>
      </c>
      <c r="C300">
        <v>-899.31</v>
      </c>
      <c r="D300" t="s">
        <v>360</v>
      </c>
      <c r="E300">
        <v>34600</v>
      </c>
      <c r="F300">
        <v>49.305</v>
      </c>
      <c r="G300">
        <v>33900</v>
      </c>
      <c r="H300">
        <v>48.307500000000012</v>
      </c>
      <c r="I300">
        <v>101.7</v>
      </c>
      <c r="L300" t="s">
        <v>374</v>
      </c>
      <c r="AB300" t="s">
        <v>374</v>
      </c>
    </row>
    <row r="301" spans="1:28" x14ac:dyDescent="0.25">
      <c r="A301" s="1">
        <v>299</v>
      </c>
      <c r="B301" t="s">
        <v>268</v>
      </c>
      <c r="C301">
        <v>-378.7</v>
      </c>
      <c r="D301" t="s">
        <v>356</v>
      </c>
      <c r="E301">
        <v>13200</v>
      </c>
      <c r="F301">
        <v>20</v>
      </c>
      <c r="G301">
        <v>12900</v>
      </c>
      <c r="H301">
        <v>20</v>
      </c>
      <c r="I301">
        <v>38.700000000000003</v>
      </c>
      <c r="L301" t="s">
        <v>374</v>
      </c>
      <c r="AB301" t="s">
        <v>374</v>
      </c>
    </row>
    <row r="302" spans="1:28" x14ac:dyDescent="0.25">
      <c r="A302" s="1">
        <v>300</v>
      </c>
      <c r="B302" t="s">
        <v>269</v>
      </c>
      <c r="C302">
        <v>27253.52</v>
      </c>
      <c r="D302" t="s">
        <v>349</v>
      </c>
      <c r="E302">
        <v>103020</v>
      </c>
      <c r="F302">
        <v>146.80350000000001</v>
      </c>
      <c r="G302">
        <v>131000</v>
      </c>
      <c r="H302">
        <v>186.67500000000001</v>
      </c>
      <c r="I302">
        <v>393</v>
      </c>
      <c r="N302" t="s">
        <v>374</v>
      </c>
      <c r="AB302" t="s">
        <v>374</v>
      </c>
    </row>
    <row r="303" spans="1:28" x14ac:dyDescent="0.25">
      <c r="A303" s="1">
        <v>301</v>
      </c>
      <c r="B303" t="s">
        <v>270</v>
      </c>
      <c r="C303">
        <v>7300.86</v>
      </c>
      <c r="D303" t="s">
        <v>370</v>
      </c>
      <c r="E303">
        <v>26411.5</v>
      </c>
      <c r="F303">
        <v>37.636387499999998</v>
      </c>
      <c r="G303">
        <v>33900</v>
      </c>
      <c r="H303">
        <v>48.307500000000012</v>
      </c>
      <c r="I303">
        <v>101.7</v>
      </c>
      <c r="M303" t="s">
        <v>374</v>
      </c>
      <c r="AB303" t="s">
        <v>374</v>
      </c>
    </row>
    <row r="304" spans="1:28" x14ac:dyDescent="0.25">
      <c r="A304" s="1">
        <v>302</v>
      </c>
      <c r="B304" t="s">
        <v>271</v>
      </c>
      <c r="C304">
        <v>2896.72</v>
      </c>
      <c r="D304" t="s">
        <v>354</v>
      </c>
      <c r="E304">
        <v>24745</v>
      </c>
      <c r="F304">
        <v>35.261625000000002</v>
      </c>
      <c r="G304">
        <v>27800</v>
      </c>
      <c r="H304">
        <v>39.615000000000002</v>
      </c>
      <c r="I304">
        <v>83.4</v>
      </c>
      <c r="N304" t="s">
        <v>374</v>
      </c>
      <c r="AB304" t="s">
        <v>374</v>
      </c>
    </row>
    <row r="305" spans="1:29" x14ac:dyDescent="0.25">
      <c r="A305" s="1">
        <v>303</v>
      </c>
      <c r="B305" t="s">
        <v>272</v>
      </c>
      <c r="C305">
        <v>6182.12</v>
      </c>
      <c r="D305" t="s">
        <v>339</v>
      </c>
      <c r="E305">
        <v>24745</v>
      </c>
      <c r="F305">
        <v>35.261625000000002</v>
      </c>
      <c r="G305">
        <v>31100</v>
      </c>
      <c r="H305">
        <v>44.317500000000003</v>
      </c>
      <c r="I305">
        <v>93.3</v>
      </c>
      <c r="O305" t="s">
        <v>374</v>
      </c>
      <c r="AB305" t="s">
        <v>374</v>
      </c>
    </row>
    <row r="306" spans="1:29" x14ac:dyDescent="0.25">
      <c r="A306" s="1">
        <v>304</v>
      </c>
      <c r="B306" t="s">
        <v>143</v>
      </c>
      <c r="C306">
        <v>69408.94</v>
      </c>
      <c r="D306" t="s">
        <v>356</v>
      </c>
      <c r="E306">
        <v>208060</v>
      </c>
      <c r="F306">
        <v>296.4855</v>
      </c>
      <c r="G306">
        <v>279000</v>
      </c>
      <c r="H306">
        <v>397.57499999999999</v>
      </c>
      <c r="I306">
        <v>837</v>
      </c>
      <c r="AB306" t="s">
        <v>374</v>
      </c>
    </row>
    <row r="307" spans="1:29" x14ac:dyDescent="0.25">
      <c r="A307" s="1">
        <v>305</v>
      </c>
      <c r="B307" t="s">
        <v>217</v>
      </c>
      <c r="C307">
        <f>G307-E307-F307-H307</f>
        <v>4501.9987499999997</v>
      </c>
      <c r="D307" t="s">
        <v>349</v>
      </c>
      <c r="E307">
        <v>15100</v>
      </c>
      <c r="F307">
        <v>20</v>
      </c>
      <c r="G307">
        <v>19650</v>
      </c>
      <c r="H307">
        <v>28.001249999999999</v>
      </c>
      <c r="I307">
        <v>58.95</v>
      </c>
      <c r="AB307" t="s">
        <v>375</v>
      </c>
      <c r="AC307">
        <v>-133739.76329999999</v>
      </c>
    </row>
    <row r="308" spans="1:29" x14ac:dyDescent="0.25">
      <c r="A308" s="1">
        <v>306</v>
      </c>
      <c r="B308" t="s">
        <v>239</v>
      </c>
      <c r="C308">
        <v>533.09</v>
      </c>
      <c r="D308" t="s">
        <v>336</v>
      </c>
      <c r="E308">
        <v>8370</v>
      </c>
      <c r="F308">
        <v>20</v>
      </c>
      <c r="G308">
        <v>8970</v>
      </c>
      <c r="H308">
        <v>20</v>
      </c>
      <c r="I308">
        <v>26.91</v>
      </c>
      <c r="L308" t="s">
        <v>374</v>
      </c>
      <c r="AB308" t="s">
        <v>374</v>
      </c>
    </row>
    <row r="309" spans="1:29" x14ac:dyDescent="0.25">
      <c r="A309" s="1">
        <v>307</v>
      </c>
      <c r="B309" t="s">
        <v>273</v>
      </c>
      <c r="C309">
        <v>1412</v>
      </c>
      <c r="D309" t="s">
        <v>342</v>
      </c>
      <c r="E309">
        <v>99000</v>
      </c>
      <c r="F309">
        <v>141.07499999999999</v>
      </c>
      <c r="G309">
        <v>101000</v>
      </c>
      <c r="H309">
        <v>143.92500000000001</v>
      </c>
      <c r="I309">
        <v>303</v>
      </c>
      <c r="L309" t="s">
        <v>374</v>
      </c>
      <c r="AB309" t="s">
        <v>374</v>
      </c>
    </row>
    <row r="310" spans="1:29" x14ac:dyDescent="0.25">
      <c r="A310" s="1">
        <v>308</v>
      </c>
      <c r="B310" t="s">
        <v>274</v>
      </c>
      <c r="C310">
        <v>68211.38</v>
      </c>
      <c r="D310" t="s">
        <v>336</v>
      </c>
      <c r="E310">
        <v>411070</v>
      </c>
      <c r="F310">
        <v>585.77475000000004</v>
      </c>
      <c r="G310">
        <v>482000</v>
      </c>
      <c r="H310">
        <v>686.85</v>
      </c>
      <c r="I310">
        <v>1446</v>
      </c>
      <c r="AB310" t="s">
        <v>374</v>
      </c>
    </row>
    <row r="311" spans="1:29" x14ac:dyDescent="0.25">
      <c r="A311" s="1">
        <v>309</v>
      </c>
      <c r="B311" t="s">
        <v>275</v>
      </c>
      <c r="C311">
        <v>-2685.93</v>
      </c>
      <c r="D311" t="s">
        <v>344</v>
      </c>
      <c r="E311">
        <v>94940</v>
      </c>
      <c r="F311">
        <v>135.2895</v>
      </c>
      <c r="G311">
        <v>92800</v>
      </c>
      <c r="H311">
        <v>132.24</v>
      </c>
      <c r="I311">
        <v>278.39999999999998</v>
      </c>
      <c r="L311" t="s">
        <v>374</v>
      </c>
      <c r="AB311" t="s">
        <v>374</v>
      </c>
    </row>
    <row r="312" spans="1:29" x14ac:dyDescent="0.25">
      <c r="A312" s="1">
        <v>310</v>
      </c>
      <c r="B312" t="s">
        <v>208</v>
      </c>
      <c r="C312">
        <f>G312-E312-F312-H312</f>
        <v>60</v>
      </c>
      <c r="D312" t="s">
        <v>344</v>
      </c>
      <c r="E312">
        <v>7600</v>
      </c>
      <c r="F312">
        <v>20</v>
      </c>
      <c r="G312">
        <v>7700</v>
      </c>
      <c r="H312">
        <v>20</v>
      </c>
      <c r="I312">
        <v>23.1</v>
      </c>
      <c r="AB312" t="s">
        <v>375</v>
      </c>
      <c r="AC312">
        <v>-126119.76330000001</v>
      </c>
    </row>
    <row r="313" spans="1:29" x14ac:dyDescent="0.25">
      <c r="A313" s="1">
        <v>311</v>
      </c>
      <c r="B313" t="s">
        <v>276</v>
      </c>
      <c r="C313">
        <v>6550.75</v>
      </c>
      <c r="D313" t="s">
        <v>337</v>
      </c>
      <c r="E313">
        <v>121705</v>
      </c>
      <c r="F313">
        <v>173.42962499999999</v>
      </c>
      <c r="G313">
        <v>129000</v>
      </c>
      <c r="H313">
        <v>183.82499999999999</v>
      </c>
      <c r="I313">
        <v>387</v>
      </c>
      <c r="O313" t="s">
        <v>374</v>
      </c>
      <c r="AB313" t="s">
        <v>374</v>
      </c>
    </row>
    <row r="314" spans="1:29" x14ac:dyDescent="0.25">
      <c r="A314" s="1">
        <v>312</v>
      </c>
      <c r="B314" t="s">
        <v>277</v>
      </c>
      <c r="C314">
        <v>-1494.72</v>
      </c>
      <c r="D314" t="s">
        <v>341</v>
      </c>
      <c r="E314">
        <v>17250</v>
      </c>
      <c r="F314">
        <v>24.581250000000001</v>
      </c>
      <c r="G314">
        <v>15850</v>
      </c>
      <c r="H314">
        <v>22.58625</v>
      </c>
      <c r="I314">
        <v>47.55</v>
      </c>
      <c r="N314" t="s">
        <v>374</v>
      </c>
      <c r="AB314" t="s">
        <v>374</v>
      </c>
    </row>
    <row r="315" spans="1:29" x14ac:dyDescent="0.25">
      <c r="A315" s="1">
        <v>313</v>
      </c>
      <c r="B315" t="s">
        <v>252</v>
      </c>
      <c r="C315">
        <v>1983.87</v>
      </c>
      <c r="D315" t="s">
        <v>355</v>
      </c>
      <c r="E315">
        <v>52300</v>
      </c>
      <c r="F315">
        <v>74.527500000000003</v>
      </c>
      <c r="G315">
        <v>54600</v>
      </c>
      <c r="H315">
        <v>77.805000000000007</v>
      </c>
      <c r="I315">
        <v>163.80000000000001</v>
      </c>
      <c r="AB315" t="s">
        <v>374</v>
      </c>
    </row>
    <row r="316" spans="1:29" x14ac:dyDescent="0.25">
      <c r="A316" s="1">
        <v>314</v>
      </c>
      <c r="B316" t="s">
        <v>278</v>
      </c>
      <c r="C316">
        <f>G316-E316-F316-H316</f>
        <v>210.48508750000002</v>
      </c>
      <c r="D316" t="s">
        <v>354</v>
      </c>
      <c r="E316">
        <v>22674.5</v>
      </c>
      <c r="F316">
        <v>32.311162500000002</v>
      </c>
      <c r="G316">
        <v>22950</v>
      </c>
      <c r="H316">
        <v>32.703749999999999</v>
      </c>
      <c r="I316">
        <v>68.850000000000009</v>
      </c>
      <c r="AB316" t="s">
        <v>375</v>
      </c>
      <c r="AC316">
        <v>-103412.9521375</v>
      </c>
    </row>
    <row r="317" spans="1:29" x14ac:dyDescent="0.25">
      <c r="A317" s="1">
        <v>315</v>
      </c>
      <c r="B317" t="s">
        <v>279</v>
      </c>
      <c r="C317">
        <v>-2002.31</v>
      </c>
      <c r="D317" t="s">
        <v>344</v>
      </c>
      <c r="E317">
        <v>87000</v>
      </c>
      <c r="F317">
        <v>123.97499999999999</v>
      </c>
      <c r="G317">
        <v>85500</v>
      </c>
      <c r="H317">
        <v>121.83750000000001</v>
      </c>
      <c r="I317">
        <v>256.5</v>
      </c>
      <c r="AB317" t="s">
        <v>374</v>
      </c>
    </row>
    <row r="318" spans="1:29" x14ac:dyDescent="0.25">
      <c r="A318" s="1">
        <v>316</v>
      </c>
      <c r="B318" t="s">
        <v>280</v>
      </c>
      <c r="C318">
        <v>26034.15</v>
      </c>
      <c r="D318" t="s">
        <v>371</v>
      </c>
      <c r="E318">
        <v>41208</v>
      </c>
      <c r="F318">
        <v>58.721400000000003</v>
      </c>
      <c r="G318">
        <v>67600</v>
      </c>
      <c r="H318">
        <v>96.33</v>
      </c>
      <c r="I318">
        <v>202.8</v>
      </c>
      <c r="R318" t="s">
        <v>374</v>
      </c>
      <c r="AB318" t="s">
        <v>374</v>
      </c>
    </row>
    <row r="319" spans="1:29" x14ac:dyDescent="0.25">
      <c r="A319" s="1">
        <v>317</v>
      </c>
      <c r="B319" t="s">
        <v>281</v>
      </c>
      <c r="C319">
        <v>-19.600000000000001</v>
      </c>
      <c r="D319" t="s">
        <v>341</v>
      </c>
      <c r="E319">
        <v>23432</v>
      </c>
      <c r="F319">
        <v>33.390599999999999</v>
      </c>
      <c r="G319">
        <v>23550</v>
      </c>
      <c r="H319">
        <v>33.558750000000003</v>
      </c>
      <c r="I319">
        <v>70.650000000000006</v>
      </c>
      <c r="L319" t="s">
        <v>374</v>
      </c>
      <c r="AB319" t="s">
        <v>374</v>
      </c>
    </row>
    <row r="320" spans="1:29" x14ac:dyDescent="0.25">
      <c r="A320" s="1">
        <v>318</v>
      </c>
      <c r="B320" t="s">
        <v>128</v>
      </c>
      <c r="C320">
        <f>G320-E320-F320-H320</f>
        <v>304.38914999999997</v>
      </c>
      <c r="D320" t="s">
        <v>339</v>
      </c>
      <c r="E320">
        <v>46662</v>
      </c>
      <c r="F320">
        <v>66.493350000000007</v>
      </c>
      <c r="G320">
        <v>47100</v>
      </c>
      <c r="H320">
        <v>67.117500000000007</v>
      </c>
      <c r="I320">
        <v>141.30000000000001</v>
      </c>
      <c r="AB320" t="s">
        <v>375</v>
      </c>
      <c r="AC320">
        <v>-56684.458787499963</v>
      </c>
    </row>
    <row r="321" spans="1:29" x14ac:dyDescent="0.25">
      <c r="A321" s="1">
        <v>319</v>
      </c>
      <c r="B321" t="s">
        <v>282</v>
      </c>
      <c r="C321">
        <v>-1007.42</v>
      </c>
      <c r="D321" t="s">
        <v>360</v>
      </c>
      <c r="E321">
        <v>38784</v>
      </c>
      <c r="F321">
        <v>55.267200000000003</v>
      </c>
      <c r="G321">
        <v>38000</v>
      </c>
      <c r="H321">
        <v>54.15</v>
      </c>
      <c r="I321">
        <v>114</v>
      </c>
      <c r="P321" t="s">
        <v>374</v>
      </c>
      <c r="AB321" t="s">
        <v>374</v>
      </c>
    </row>
    <row r="322" spans="1:29" x14ac:dyDescent="0.25">
      <c r="A322" s="1">
        <v>320</v>
      </c>
      <c r="B322" t="s">
        <v>205</v>
      </c>
      <c r="C322">
        <f>G322-E322-F322-H322</f>
        <v>669.73384999999996</v>
      </c>
      <c r="D322" t="s">
        <v>337</v>
      </c>
      <c r="E322">
        <v>17978</v>
      </c>
      <c r="F322">
        <v>25.618649999999999</v>
      </c>
      <c r="G322">
        <v>18700</v>
      </c>
      <c r="H322">
        <v>26.647500000000001</v>
      </c>
      <c r="I322">
        <v>56.1</v>
      </c>
      <c r="AB322" t="s">
        <v>375</v>
      </c>
      <c r="AC322">
        <v>-26136.84013749997</v>
      </c>
    </row>
    <row r="323" spans="1:29" x14ac:dyDescent="0.25">
      <c r="A323" s="1">
        <v>321</v>
      </c>
      <c r="B323" t="s">
        <v>166</v>
      </c>
      <c r="C323">
        <v>-1387.77</v>
      </c>
      <c r="D323" t="s">
        <v>343</v>
      </c>
      <c r="E323">
        <v>56661</v>
      </c>
      <c r="F323">
        <v>80.741925000000023</v>
      </c>
      <c r="G323">
        <v>55600</v>
      </c>
      <c r="H323">
        <v>79.23</v>
      </c>
      <c r="I323">
        <v>166.8</v>
      </c>
      <c r="L323" t="s">
        <v>374</v>
      </c>
      <c r="AB323" t="s">
        <v>374</v>
      </c>
    </row>
    <row r="324" spans="1:29" x14ac:dyDescent="0.25">
      <c r="A324" s="1">
        <v>322</v>
      </c>
      <c r="B324" t="s">
        <v>232</v>
      </c>
      <c r="C324">
        <v>-2325.85</v>
      </c>
      <c r="D324" t="s">
        <v>338</v>
      </c>
      <c r="E324">
        <v>46662</v>
      </c>
      <c r="F324">
        <v>66.493350000000007</v>
      </c>
      <c r="G324">
        <v>44600</v>
      </c>
      <c r="H324">
        <v>63.555</v>
      </c>
      <c r="I324">
        <v>133.80000000000001</v>
      </c>
      <c r="J324" t="s">
        <v>374</v>
      </c>
      <c r="AB324" t="s">
        <v>374</v>
      </c>
    </row>
    <row r="325" spans="1:29" x14ac:dyDescent="0.25">
      <c r="A325" s="1">
        <v>323</v>
      </c>
      <c r="B325" t="s">
        <v>283</v>
      </c>
      <c r="C325">
        <f>G325-E325-F325-H325</f>
        <v>15066.598749999999</v>
      </c>
      <c r="D325" t="s">
        <v>348</v>
      </c>
      <c r="E325">
        <v>12524</v>
      </c>
      <c r="F325">
        <v>20</v>
      </c>
      <c r="G325">
        <v>27650</v>
      </c>
      <c r="H325">
        <v>39.401250000000012</v>
      </c>
      <c r="I325">
        <v>82.95</v>
      </c>
      <c r="AB325" t="s">
        <v>375</v>
      </c>
      <c r="AC325">
        <v>-26136.84013749997</v>
      </c>
    </row>
    <row r="326" spans="1:29" x14ac:dyDescent="0.25">
      <c r="A326" s="1">
        <v>324</v>
      </c>
      <c r="B326" t="s">
        <v>284</v>
      </c>
      <c r="C326">
        <v>959.36</v>
      </c>
      <c r="D326" t="s">
        <v>344</v>
      </c>
      <c r="E326">
        <v>14700</v>
      </c>
      <c r="F326">
        <v>20.947500000000002</v>
      </c>
      <c r="G326">
        <v>15750</v>
      </c>
      <c r="H326">
        <v>22.443750000000001</v>
      </c>
      <c r="I326">
        <v>47.25</v>
      </c>
      <c r="N326" t="s">
        <v>374</v>
      </c>
      <c r="AB326" t="s">
        <v>374</v>
      </c>
    </row>
    <row r="327" spans="1:29" x14ac:dyDescent="0.25">
      <c r="A327" s="1">
        <v>325</v>
      </c>
      <c r="B327" t="s">
        <v>193</v>
      </c>
      <c r="C327">
        <v>-341.32</v>
      </c>
      <c r="D327" t="s">
        <v>341</v>
      </c>
      <c r="E327">
        <v>15800</v>
      </c>
      <c r="F327">
        <v>22.515000000000001</v>
      </c>
      <c r="G327">
        <v>15550</v>
      </c>
      <c r="H327">
        <v>22.158750000000001</v>
      </c>
      <c r="I327">
        <v>46.65</v>
      </c>
      <c r="O327" t="s">
        <v>374</v>
      </c>
      <c r="AB327" t="s">
        <v>374</v>
      </c>
    </row>
    <row r="328" spans="1:29" x14ac:dyDescent="0.25">
      <c r="A328" s="1">
        <v>326</v>
      </c>
      <c r="B328" t="s">
        <v>216</v>
      </c>
      <c r="C328">
        <f>G328-E328-F328-H328</f>
        <v>643</v>
      </c>
      <c r="D328" t="s">
        <v>372</v>
      </c>
      <c r="E328">
        <v>11817</v>
      </c>
      <c r="F328">
        <v>20</v>
      </c>
      <c r="G328">
        <v>12500</v>
      </c>
      <c r="H328">
        <v>20</v>
      </c>
      <c r="I328">
        <v>37.5</v>
      </c>
      <c r="AB328" t="s">
        <v>375</v>
      </c>
      <c r="AC328">
        <v>28433.468175000031</v>
      </c>
    </row>
    <row r="329" spans="1:29" x14ac:dyDescent="0.25">
      <c r="A329" s="1">
        <v>327</v>
      </c>
      <c r="B329" t="s">
        <v>285</v>
      </c>
      <c r="C329">
        <v>1707.18</v>
      </c>
      <c r="D329" t="s">
        <v>355</v>
      </c>
      <c r="E329">
        <v>18078.999999999902</v>
      </c>
      <c r="F329">
        <v>25.762574999999991</v>
      </c>
      <c r="G329">
        <v>19900</v>
      </c>
      <c r="H329">
        <v>28.357500000000002</v>
      </c>
      <c r="I329">
        <v>59.7</v>
      </c>
      <c r="L329" t="s">
        <v>374</v>
      </c>
      <c r="AB329" t="s">
        <v>374</v>
      </c>
    </row>
    <row r="330" spans="1:29" x14ac:dyDescent="0.25">
      <c r="A330" s="1">
        <v>328</v>
      </c>
      <c r="B330" t="s">
        <v>286</v>
      </c>
      <c r="C330">
        <f>G330-E330-F330-H330</f>
        <v>83087.1416875</v>
      </c>
      <c r="D330" t="s">
        <v>373</v>
      </c>
      <c r="E330">
        <v>42672.5</v>
      </c>
      <c r="F330">
        <v>60.8083125</v>
      </c>
      <c r="G330">
        <v>126000</v>
      </c>
      <c r="H330">
        <v>179.55</v>
      </c>
      <c r="I330">
        <v>378</v>
      </c>
      <c r="AB330" t="s">
        <v>375</v>
      </c>
      <c r="AC330">
        <v>28433.468175000031</v>
      </c>
    </row>
    <row r="331" spans="1:29" x14ac:dyDescent="0.25">
      <c r="A331" s="1">
        <v>329</v>
      </c>
      <c r="B331" t="s">
        <v>287</v>
      </c>
      <c r="C331">
        <v>-947.73</v>
      </c>
      <c r="D331" t="s">
        <v>338</v>
      </c>
      <c r="E331">
        <v>31815</v>
      </c>
      <c r="F331">
        <v>45.336374999999997</v>
      </c>
      <c r="G331">
        <v>31050</v>
      </c>
      <c r="H331">
        <v>44.246250000000003</v>
      </c>
      <c r="I331">
        <v>93.15</v>
      </c>
      <c r="N331" t="s">
        <v>374</v>
      </c>
      <c r="AB331" t="s">
        <v>374</v>
      </c>
    </row>
    <row r="332" spans="1:29" x14ac:dyDescent="0.25">
      <c r="A332" s="1">
        <v>330</v>
      </c>
      <c r="B332" t="s">
        <v>65</v>
      </c>
      <c r="C332">
        <v>5974.52</v>
      </c>
      <c r="D332" t="s">
        <v>359</v>
      </c>
      <c r="E332">
        <v>170000</v>
      </c>
      <c r="F332">
        <v>242.25</v>
      </c>
      <c r="G332">
        <v>177000</v>
      </c>
      <c r="H332">
        <v>252.22499999999999</v>
      </c>
      <c r="I332">
        <v>531</v>
      </c>
      <c r="AB332" t="s">
        <v>374</v>
      </c>
    </row>
    <row r="333" spans="1:29" x14ac:dyDescent="0.25">
      <c r="A333" s="1">
        <v>331</v>
      </c>
      <c r="B333" t="s">
        <v>288</v>
      </c>
      <c r="C333">
        <f>G333-E333-F333-H333</f>
        <v>-3569.0587500000001</v>
      </c>
      <c r="D333" t="s">
        <v>338</v>
      </c>
      <c r="E333">
        <v>43500</v>
      </c>
      <c r="F333">
        <v>61.987499999999997</v>
      </c>
      <c r="G333">
        <v>40050</v>
      </c>
      <c r="H333">
        <v>57.071249999999999</v>
      </c>
      <c r="I333">
        <v>120.15</v>
      </c>
      <c r="AB333" t="s">
        <v>375</v>
      </c>
      <c r="AC333">
        <v>71995.455675000034</v>
      </c>
    </row>
    <row r="334" spans="1:29" x14ac:dyDescent="0.25">
      <c r="A334" s="1">
        <v>332</v>
      </c>
      <c r="B334" t="s">
        <v>289</v>
      </c>
      <c r="C334">
        <v>1759.18</v>
      </c>
      <c r="D334" t="s">
        <v>352</v>
      </c>
      <c r="E334">
        <v>46460</v>
      </c>
      <c r="F334">
        <v>66.205500000000001</v>
      </c>
      <c r="G334">
        <v>48500</v>
      </c>
      <c r="H334">
        <v>69.112499999999997</v>
      </c>
      <c r="I334">
        <v>145.5</v>
      </c>
      <c r="N334" t="s">
        <v>374</v>
      </c>
      <c r="AB334" t="s">
        <v>374</v>
      </c>
    </row>
    <row r="335" spans="1:29" x14ac:dyDescent="0.25">
      <c r="A335" s="1">
        <v>333</v>
      </c>
      <c r="B335" t="s">
        <v>124</v>
      </c>
      <c r="C335">
        <v>-3097.77</v>
      </c>
      <c r="D335" t="s">
        <v>340</v>
      </c>
      <c r="E335">
        <v>36000</v>
      </c>
      <c r="F335">
        <v>51.3</v>
      </c>
      <c r="G335">
        <v>33100</v>
      </c>
      <c r="H335">
        <v>47.167499999999997</v>
      </c>
      <c r="I335">
        <v>99.3</v>
      </c>
      <c r="O335" t="s">
        <v>374</v>
      </c>
      <c r="AB335" t="s">
        <v>374</v>
      </c>
    </row>
    <row r="336" spans="1:29" x14ac:dyDescent="0.25">
      <c r="A336" s="1">
        <v>334</v>
      </c>
      <c r="B336" t="s">
        <v>290</v>
      </c>
      <c r="C336">
        <v>-576.66</v>
      </c>
      <c r="D336" t="s">
        <v>342</v>
      </c>
      <c r="E336">
        <v>30500</v>
      </c>
      <c r="F336">
        <v>43.462499999999999</v>
      </c>
      <c r="G336">
        <v>30100</v>
      </c>
      <c r="H336">
        <v>42.892499999999998</v>
      </c>
      <c r="I336">
        <v>90.3</v>
      </c>
      <c r="AB336" t="s">
        <v>374</v>
      </c>
    </row>
    <row r="337" spans="1:29" x14ac:dyDescent="0.25">
      <c r="A337" s="1">
        <v>335</v>
      </c>
      <c r="B337" t="s">
        <v>291</v>
      </c>
      <c r="C337">
        <v>-1128.8499999999999</v>
      </c>
      <c r="D337" t="s">
        <v>340</v>
      </c>
      <c r="E337">
        <v>14000</v>
      </c>
      <c r="F337">
        <v>20</v>
      </c>
      <c r="G337">
        <v>12950</v>
      </c>
      <c r="H337">
        <v>20</v>
      </c>
      <c r="I337">
        <v>38.85</v>
      </c>
      <c r="L337" t="s">
        <v>374</v>
      </c>
      <c r="AB337" t="s">
        <v>374</v>
      </c>
    </row>
    <row r="338" spans="1:29" x14ac:dyDescent="0.25">
      <c r="A338" s="1">
        <v>336</v>
      </c>
      <c r="B338" t="s">
        <v>234</v>
      </c>
      <c r="C338">
        <v>2309.86</v>
      </c>
      <c r="D338" t="s">
        <v>359</v>
      </c>
      <c r="E338">
        <v>13450</v>
      </c>
      <c r="F338">
        <v>20</v>
      </c>
      <c r="G338">
        <v>15850</v>
      </c>
      <c r="H338">
        <v>22.58625</v>
      </c>
      <c r="I338">
        <v>47.55</v>
      </c>
      <c r="AA338" t="s">
        <v>374</v>
      </c>
      <c r="AB338" t="s">
        <v>374</v>
      </c>
    </row>
    <row r="339" spans="1:29" x14ac:dyDescent="0.25">
      <c r="A339" s="1">
        <v>337</v>
      </c>
      <c r="B339" t="s">
        <v>218</v>
      </c>
      <c r="C339">
        <v>-2081.04</v>
      </c>
      <c r="D339" t="s">
        <v>340</v>
      </c>
      <c r="E339">
        <v>15150</v>
      </c>
      <c r="F339">
        <v>21.588750000000001</v>
      </c>
      <c r="G339">
        <v>13150</v>
      </c>
      <c r="H339">
        <v>20</v>
      </c>
      <c r="I339">
        <v>39.450000000000003</v>
      </c>
      <c r="O339" t="s">
        <v>374</v>
      </c>
      <c r="AB339" t="s">
        <v>374</v>
      </c>
    </row>
    <row r="340" spans="1:29" x14ac:dyDescent="0.25">
      <c r="A340" s="1">
        <v>338</v>
      </c>
      <c r="B340" t="s">
        <v>250</v>
      </c>
      <c r="C340">
        <v>-1628.63</v>
      </c>
      <c r="D340" t="s">
        <v>340</v>
      </c>
      <c r="E340">
        <v>14300</v>
      </c>
      <c r="F340">
        <v>20.377500000000001</v>
      </c>
      <c r="G340">
        <v>12750</v>
      </c>
      <c r="H340">
        <v>20</v>
      </c>
      <c r="I340">
        <v>38.25</v>
      </c>
      <c r="L340" t="s">
        <v>374</v>
      </c>
      <c r="AB340" t="s">
        <v>374</v>
      </c>
    </row>
    <row r="341" spans="1:29" x14ac:dyDescent="0.25">
      <c r="A341" s="1">
        <v>339</v>
      </c>
      <c r="B341" t="s">
        <v>292</v>
      </c>
      <c r="C341">
        <f>G341-E341-F341-H341</f>
        <v>-797.57853750000004</v>
      </c>
      <c r="D341" t="s">
        <v>355</v>
      </c>
      <c r="E341">
        <v>31259.5</v>
      </c>
      <c r="F341">
        <v>44.544787499999998</v>
      </c>
      <c r="G341">
        <v>30550</v>
      </c>
      <c r="H341">
        <v>43.533750000000012</v>
      </c>
      <c r="I341">
        <v>91.65</v>
      </c>
      <c r="AB341" t="s">
        <v>375</v>
      </c>
      <c r="AC341">
        <v>103299.5004625</v>
      </c>
    </row>
    <row r="342" spans="1:29" x14ac:dyDescent="0.25">
      <c r="A342" s="1">
        <v>340</v>
      </c>
      <c r="B342" t="s">
        <v>112</v>
      </c>
      <c r="C342">
        <v>-2825.47</v>
      </c>
      <c r="D342" t="s">
        <v>340</v>
      </c>
      <c r="E342">
        <v>14400</v>
      </c>
      <c r="F342">
        <v>20.52</v>
      </c>
      <c r="G342">
        <v>11650</v>
      </c>
      <c r="H342">
        <v>20</v>
      </c>
      <c r="I342">
        <v>34.950000000000003</v>
      </c>
      <c r="N342" t="s">
        <v>374</v>
      </c>
      <c r="AB342" t="s">
        <v>374</v>
      </c>
    </row>
    <row r="343" spans="1:29" x14ac:dyDescent="0.25">
      <c r="A343" s="1">
        <v>341</v>
      </c>
      <c r="B343" t="s">
        <v>293</v>
      </c>
      <c r="C343">
        <f>G343-E343-F343-H343</f>
        <v>3586.6587500000001</v>
      </c>
      <c r="D343" t="s">
        <v>343</v>
      </c>
      <c r="E343">
        <v>20400</v>
      </c>
      <c r="F343">
        <v>29.07</v>
      </c>
      <c r="G343">
        <v>24050</v>
      </c>
      <c r="H343">
        <v>34.271250000000002</v>
      </c>
      <c r="I343">
        <v>72.150000000000006</v>
      </c>
      <c r="AB343" t="s">
        <v>375</v>
      </c>
      <c r="AC343">
        <v>133949.57046250001</v>
      </c>
    </row>
    <row r="344" spans="1:29" x14ac:dyDescent="0.25">
      <c r="A344" s="1">
        <v>342</v>
      </c>
      <c r="B344" t="s">
        <v>294</v>
      </c>
      <c r="C344">
        <v>-901.93</v>
      </c>
      <c r="D344" t="s">
        <v>360</v>
      </c>
      <c r="E344">
        <v>9645.5</v>
      </c>
      <c r="F344">
        <v>20</v>
      </c>
      <c r="G344">
        <v>8810</v>
      </c>
      <c r="H344">
        <v>20</v>
      </c>
      <c r="I344">
        <v>26.43</v>
      </c>
      <c r="AA344" t="s">
        <v>374</v>
      </c>
      <c r="AB344" t="s">
        <v>374</v>
      </c>
    </row>
    <row r="345" spans="1:29" x14ac:dyDescent="0.25">
      <c r="A345" s="1">
        <v>343</v>
      </c>
      <c r="B345" t="s">
        <v>295</v>
      </c>
      <c r="C345">
        <v>-1441.77</v>
      </c>
      <c r="D345" t="s">
        <v>346</v>
      </c>
      <c r="E345">
        <v>22068.5</v>
      </c>
      <c r="F345">
        <v>31.447612500000002</v>
      </c>
      <c r="G345">
        <v>20750</v>
      </c>
      <c r="H345">
        <v>29.568750000000001</v>
      </c>
      <c r="I345">
        <v>62.25</v>
      </c>
      <c r="L345" t="s">
        <v>374</v>
      </c>
      <c r="AB345" t="s">
        <v>374</v>
      </c>
    </row>
    <row r="346" spans="1:29" x14ac:dyDescent="0.25">
      <c r="A346" s="1">
        <v>344</v>
      </c>
      <c r="B346" t="s">
        <v>296</v>
      </c>
      <c r="C346">
        <v>-2528.2399999999998</v>
      </c>
      <c r="D346" t="s">
        <v>340</v>
      </c>
      <c r="E346">
        <v>15049</v>
      </c>
      <c r="F346">
        <v>21.444825000000009</v>
      </c>
      <c r="G346">
        <v>12600</v>
      </c>
      <c r="H346">
        <v>20</v>
      </c>
      <c r="I346">
        <v>37.799999999999997</v>
      </c>
      <c r="M346" t="s">
        <v>374</v>
      </c>
      <c r="AB346" t="s">
        <v>374</v>
      </c>
    </row>
    <row r="347" spans="1:29" x14ac:dyDescent="0.25">
      <c r="A347" s="1">
        <v>345</v>
      </c>
      <c r="B347" t="s">
        <v>238</v>
      </c>
      <c r="C347">
        <v>597.41</v>
      </c>
      <c r="D347" t="s">
        <v>364</v>
      </c>
      <c r="E347">
        <v>6870</v>
      </c>
      <c r="F347">
        <v>20</v>
      </c>
      <c r="G347">
        <v>7530</v>
      </c>
      <c r="H347">
        <v>20</v>
      </c>
      <c r="I347">
        <v>22.59</v>
      </c>
      <c r="L347" t="s">
        <v>374</v>
      </c>
      <c r="AB347" t="s">
        <v>374</v>
      </c>
    </row>
    <row r="348" spans="1:29" x14ac:dyDescent="0.25">
      <c r="A348" s="1">
        <v>346</v>
      </c>
      <c r="B348" t="s">
        <v>297</v>
      </c>
      <c r="C348">
        <f>G348-E348-F348-H348</f>
        <v>1459</v>
      </c>
      <c r="D348" t="s">
        <v>358</v>
      </c>
      <c r="E348">
        <v>10201</v>
      </c>
      <c r="F348">
        <v>20</v>
      </c>
      <c r="G348">
        <v>11700</v>
      </c>
      <c r="H348">
        <v>20</v>
      </c>
      <c r="I348">
        <v>35.1</v>
      </c>
      <c r="AB348" t="s">
        <v>375</v>
      </c>
      <c r="AC348">
        <v>133949.57046250001</v>
      </c>
    </row>
    <row r="349" spans="1:29" x14ac:dyDescent="0.25">
      <c r="A349" s="1">
        <v>347</v>
      </c>
      <c r="B349" t="s">
        <v>162</v>
      </c>
      <c r="C349">
        <v>-3667.26</v>
      </c>
      <c r="D349" t="s">
        <v>360</v>
      </c>
      <c r="E349">
        <v>68680</v>
      </c>
      <c r="F349">
        <v>97.869</v>
      </c>
      <c r="G349">
        <v>65400.000000000007</v>
      </c>
      <c r="H349">
        <v>93.194999999999993</v>
      </c>
      <c r="I349">
        <v>196.2</v>
      </c>
      <c r="L349" t="s">
        <v>374</v>
      </c>
      <c r="AB349" t="s">
        <v>374</v>
      </c>
    </row>
    <row r="350" spans="1:29" x14ac:dyDescent="0.25">
      <c r="A350" s="1">
        <v>348</v>
      </c>
      <c r="B350" t="s">
        <v>298</v>
      </c>
      <c r="C350">
        <v>-1795.73</v>
      </c>
      <c r="D350" t="s">
        <v>338</v>
      </c>
      <c r="E350">
        <v>17650</v>
      </c>
      <c r="F350">
        <v>25.151250000000001</v>
      </c>
      <c r="G350">
        <v>15950</v>
      </c>
      <c r="H350">
        <v>22.728750000000002</v>
      </c>
      <c r="I350">
        <v>47.85</v>
      </c>
      <c r="N350" t="s">
        <v>374</v>
      </c>
      <c r="AB350" t="s">
        <v>374</v>
      </c>
    </row>
    <row r="351" spans="1:29" x14ac:dyDescent="0.25">
      <c r="A351" s="1">
        <v>349</v>
      </c>
      <c r="B351" t="s">
        <v>299</v>
      </c>
      <c r="C351">
        <v>-402</v>
      </c>
      <c r="D351" t="s">
        <v>338</v>
      </c>
      <c r="E351">
        <v>9534.4</v>
      </c>
      <c r="F351">
        <v>20</v>
      </c>
      <c r="G351">
        <v>9200</v>
      </c>
      <c r="H351">
        <v>20</v>
      </c>
      <c r="I351">
        <v>27.6</v>
      </c>
      <c r="L351" t="s">
        <v>374</v>
      </c>
      <c r="AB351" t="s">
        <v>374</v>
      </c>
    </row>
    <row r="352" spans="1:29" x14ac:dyDescent="0.25">
      <c r="A352" s="1">
        <v>350</v>
      </c>
      <c r="B352" t="s">
        <v>257</v>
      </c>
      <c r="C352">
        <v>869.69</v>
      </c>
      <c r="D352" t="s">
        <v>356</v>
      </c>
      <c r="E352">
        <v>30198.999999999902</v>
      </c>
      <c r="F352">
        <v>43.033574999999999</v>
      </c>
      <c r="G352">
        <v>31250</v>
      </c>
      <c r="H352">
        <v>44.53125</v>
      </c>
      <c r="I352">
        <v>93.75</v>
      </c>
      <c r="M352" t="s">
        <v>374</v>
      </c>
      <c r="AB352" t="s">
        <v>374</v>
      </c>
    </row>
    <row r="353" spans="1:29" x14ac:dyDescent="0.25">
      <c r="A353" s="1">
        <v>351</v>
      </c>
      <c r="B353" t="s">
        <v>300</v>
      </c>
      <c r="C353">
        <v>-5422.69</v>
      </c>
      <c r="D353" t="s">
        <v>346</v>
      </c>
      <c r="E353">
        <v>42000</v>
      </c>
      <c r="F353">
        <v>59.85</v>
      </c>
      <c r="G353">
        <v>36800</v>
      </c>
      <c r="H353">
        <v>52.440000000000012</v>
      </c>
      <c r="I353">
        <v>110.4</v>
      </c>
      <c r="N353" t="s">
        <v>374</v>
      </c>
      <c r="AB353" t="s">
        <v>374</v>
      </c>
    </row>
    <row r="354" spans="1:29" x14ac:dyDescent="0.25">
      <c r="A354" s="1">
        <v>352</v>
      </c>
      <c r="B354" t="s">
        <v>301</v>
      </c>
      <c r="C354">
        <v>-1600.57</v>
      </c>
      <c r="D354" t="s">
        <v>338</v>
      </c>
      <c r="E354">
        <v>86400</v>
      </c>
      <c r="F354">
        <v>123.12</v>
      </c>
      <c r="G354">
        <v>85300</v>
      </c>
      <c r="H354">
        <v>121.55249999999999</v>
      </c>
      <c r="I354">
        <v>255.9</v>
      </c>
      <c r="M354" t="s">
        <v>374</v>
      </c>
      <c r="AB354" t="s">
        <v>374</v>
      </c>
    </row>
    <row r="355" spans="1:29" x14ac:dyDescent="0.25">
      <c r="A355" s="1">
        <v>353</v>
      </c>
      <c r="B355" t="s">
        <v>72</v>
      </c>
      <c r="C355">
        <v>-2707.84</v>
      </c>
      <c r="D355" t="s">
        <v>341</v>
      </c>
      <c r="E355">
        <v>20400</v>
      </c>
      <c r="F355">
        <v>29.07</v>
      </c>
      <c r="G355">
        <v>17800</v>
      </c>
      <c r="H355">
        <v>25.364999999999998</v>
      </c>
      <c r="I355">
        <v>53.4</v>
      </c>
      <c r="O355" t="s">
        <v>374</v>
      </c>
      <c r="AB355" t="s">
        <v>374</v>
      </c>
    </row>
    <row r="356" spans="1:29" x14ac:dyDescent="0.25">
      <c r="A356" s="1">
        <v>354</v>
      </c>
      <c r="B356" t="s">
        <v>302</v>
      </c>
      <c r="C356">
        <v>152.13999999999999</v>
      </c>
      <c r="D356" t="s">
        <v>336</v>
      </c>
      <c r="E356">
        <v>18836.499999999902</v>
      </c>
      <c r="F356">
        <v>26.842012499999999</v>
      </c>
      <c r="G356">
        <v>19100</v>
      </c>
      <c r="H356">
        <v>27.217500000000001</v>
      </c>
      <c r="I356">
        <v>57.3</v>
      </c>
      <c r="J356" t="s">
        <v>374</v>
      </c>
      <c r="AB356" t="s">
        <v>374</v>
      </c>
    </row>
    <row r="357" spans="1:29" x14ac:dyDescent="0.25">
      <c r="A357" s="1">
        <v>355</v>
      </c>
      <c r="B357" t="s">
        <v>196</v>
      </c>
      <c r="C357">
        <f>G357-E357-F357-H357</f>
        <v>8320.3232000000007</v>
      </c>
      <c r="D357" t="s">
        <v>336</v>
      </c>
      <c r="E357">
        <v>60196</v>
      </c>
      <c r="F357">
        <v>85.779300000000021</v>
      </c>
      <c r="G357">
        <v>68700</v>
      </c>
      <c r="H357">
        <v>97.897499999999994</v>
      </c>
      <c r="I357">
        <v>206.1</v>
      </c>
      <c r="AB357" t="s">
        <v>375</v>
      </c>
      <c r="AC357">
        <v>150178.2860125</v>
      </c>
    </row>
    <row r="358" spans="1:29" x14ac:dyDescent="0.25">
      <c r="A358" s="1">
        <v>356</v>
      </c>
      <c r="B358" t="s">
        <v>303</v>
      </c>
      <c r="C358">
        <v>-1305.05</v>
      </c>
      <c r="D358" t="s">
        <v>339</v>
      </c>
      <c r="E358">
        <v>13079.5</v>
      </c>
      <c r="F358">
        <v>20</v>
      </c>
      <c r="G358">
        <v>11850</v>
      </c>
      <c r="H358">
        <v>20</v>
      </c>
      <c r="I358">
        <v>35.550000000000011</v>
      </c>
      <c r="M358" t="s">
        <v>374</v>
      </c>
      <c r="AB358" t="s">
        <v>374</v>
      </c>
    </row>
    <row r="359" spans="1:29" x14ac:dyDescent="0.25">
      <c r="A359" s="1">
        <v>357</v>
      </c>
      <c r="B359" t="s">
        <v>139</v>
      </c>
      <c r="C359">
        <v>-588.78</v>
      </c>
      <c r="D359" t="s">
        <v>339</v>
      </c>
      <c r="E359">
        <v>27977</v>
      </c>
      <c r="F359">
        <v>39.867225000000012</v>
      </c>
      <c r="G359">
        <v>27550</v>
      </c>
      <c r="H359">
        <v>39.258749999999999</v>
      </c>
      <c r="I359">
        <v>82.65</v>
      </c>
      <c r="R359" t="s">
        <v>374</v>
      </c>
      <c r="AB359" t="s">
        <v>374</v>
      </c>
    </row>
    <row r="360" spans="1:29" x14ac:dyDescent="0.25">
      <c r="A360" s="1">
        <v>358</v>
      </c>
      <c r="B360" t="s">
        <v>304</v>
      </c>
      <c r="C360">
        <v>-2571.36</v>
      </c>
      <c r="D360" t="s">
        <v>340</v>
      </c>
      <c r="E360">
        <v>55954</v>
      </c>
      <c r="F360">
        <v>79.734450000000024</v>
      </c>
      <c r="G360">
        <v>53700</v>
      </c>
      <c r="H360">
        <v>76.522500000000022</v>
      </c>
      <c r="I360">
        <v>161.1</v>
      </c>
      <c r="L360" t="s">
        <v>374</v>
      </c>
      <c r="M360" t="s">
        <v>374</v>
      </c>
      <c r="AB360" t="s">
        <v>374</v>
      </c>
    </row>
    <row r="361" spans="1:29" x14ac:dyDescent="0.25">
      <c r="A361" s="1">
        <v>359</v>
      </c>
      <c r="B361" t="s">
        <v>305</v>
      </c>
      <c r="C361">
        <v>-6254.17</v>
      </c>
      <c r="D361" t="s">
        <v>344</v>
      </c>
      <c r="E361">
        <v>68579</v>
      </c>
      <c r="F361">
        <v>97.725075000000018</v>
      </c>
      <c r="G361">
        <v>62700</v>
      </c>
      <c r="H361">
        <v>89.347499999999997</v>
      </c>
      <c r="I361">
        <v>188.1</v>
      </c>
      <c r="Q361" t="s">
        <v>374</v>
      </c>
      <c r="AB361" t="s">
        <v>374</v>
      </c>
    </row>
    <row r="362" spans="1:29" x14ac:dyDescent="0.25">
      <c r="A362" s="1">
        <v>360</v>
      </c>
      <c r="B362" t="s">
        <v>306</v>
      </c>
      <c r="C362">
        <v>-1636.15</v>
      </c>
      <c r="D362" t="s">
        <v>344</v>
      </c>
      <c r="E362">
        <v>109500</v>
      </c>
      <c r="F362">
        <v>156.03749999999999</v>
      </c>
      <c r="G362">
        <v>108500</v>
      </c>
      <c r="H362">
        <v>154.61250000000001</v>
      </c>
      <c r="I362">
        <v>325.5</v>
      </c>
      <c r="L362" t="s">
        <v>374</v>
      </c>
      <c r="AB362" t="s">
        <v>374</v>
      </c>
    </row>
    <row r="363" spans="1:29" x14ac:dyDescent="0.25">
      <c r="A363" s="1">
        <v>361</v>
      </c>
      <c r="B363" t="s">
        <v>307</v>
      </c>
      <c r="C363">
        <v>-5767.03</v>
      </c>
      <c r="D363" t="s">
        <v>340</v>
      </c>
      <c r="E363">
        <v>113625</v>
      </c>
      <c r="F363">
        <v>161.91562500000001</v>
      </c>
      <c r="G363">
        <v>108500</v>
      </c>
      <c r="H363">
        <v>154.61250000000001</v>
      </c>
      <c r="I363">
        <v>325.5</v>
      </c>
      <c r="L363" t="s">
        <v>374</v>
      </c>
      <c r="AB363" t="s">
        <v>374</v>
      </c>
    </row>
    <row r="364" spans="1:29" x14ac:dyDescent="0.25">
      <c r="A364" s="1">
        <v>362</v>
      </c>
      <c r="B364" t="s">
        <v>222</v>
      </c>
      <c r="C364">
        <f>G364-E364-F364-H364</f>
        <v>1517.4780000000001</v>
      </c>
      <c r="D364" t="s">
        <v>352</v>
      </c>
      <c r="E364">
        <v>14140</v>
      </c>
      <c r="F364">
        <v>20.1495</v>
      </c>
      <c r="G364">
        <v>15700</v>
      </c>
      <c r="H364">
        <v>22.372499999999999</v>
      </c>
      <c r="I364">
        <v>47.1</v>
      </c>
      <c r="AB364" t="s">
        <v>375</v>
      </c>
      <c r="AC364">
        <v>58020.049262500041</v>
      </c>
    </row>
    <row r="365" spans="1:29" x14ac:dyDescent="0.25">
      <c r="A365" s="1">
        <v>363</v>
      </c>
      <c r="B365" t="s">
        <v>308</v>
      </c>
      <c r="C365">
        <v>671.43</v>
      </c>
      <c r="D365" t="s">
        <v>359</v>
      </c>
      <c r="E365">
        <v>46900</v>
      </c>
      <c r="F365">
        <v>66.832499999999996</v>
      </c>
      <c r="G365">
        <v>47850</v>
      </c>
      <c r="H365">
        <v>68.186250000000001</v>
      </c>
      <c r="I365">
        <v>143.55000000000001</v>
      </c>
      <c r="O365" t="s">
        <v>374</v>
      </c>
      <c r="AB365" t="s">
        <v>374</v>
      </c>
    </row>
    <row r="366" spans="1:29" x14ac:dyDescent="0.25">
      <c r="A366" s="1">
        <v>364</v>
      </c>
      <c r="B366" t="s">
        <v>110</v>
      </c>
      <c r="C366">
        <v>-4450.41</v>
      </c>
      <c r="D366" t="s">
        <v>338</v>
      </c>
      <c r="E366">
        <v>63000</v>
      </c>
      <c r="F366">
        <v>89.775000000000006</v>
      </c>
      <c r="G366">
        <v>58900</v>
      </c>
      <c r="H366">
        <v>83.932500000000005</v>
      </c>
      <c r="I366">
        <v>176.7</v>
      </c>
      <c r="O366" t="s">
        <v>374</v>
      </c>
      <c r="AB366" t="s">
        <v>374</v>
      </c>
    </row>
    <row r="367" spans="1:29" x14ac:dyDescent="0.25">
      <c r="A367" s="1">
        <v>365</v>
      </c>
      <c r="B367" t="s">
        <v>309</v>
      </c>
      <c r="C367">
        <v>-3622.7</v>
      </c>
      <c r="D367" t="s">
        <v>338</v>
      </c>
      <c r="E367">
        <v>49150</v>
      </c>
      <c r="F367">
        <v>70.038750000000007</v>
      </c>
      <c r="G367">
        <v>45800</v>
      </c>
      <c r="H367">
        <v>65.265000000000001</v>
      </c>
      <c r="I367">
        <v>137.4</v>
      </c>
      <c r="L367" t="s">
        <v>374</v>
      </c>
      <c r="AB367" t="s">
        <v>374</v>
      </c>
    </row>
    <row r="368" spans="1:29" x14ac:dyDescent="0.25">
      <c r="A368" s="1">
        <v>366</v>
      </c>
      <c r="B368" t="s">
        <v>310</v>
      </c>
      <c r="C368">
        <v>-1094.5999999999999</v>
      </c>
      <c r="D368" t="s">
        <v>344</v>
      </c>
      <c r="E368">
        <v>12221</v>
      </c>
      <c r="F368">
        <v>20</v>
      </c>
      <c r="G368">
        <v>11200</v>
      </c>
      <c r="H368">
        <v>20</v>
      </c>
      <c r="I368">
        <v>33.6</v>
      </c>
      <c r="L368" t="s">
        <v>374</v>
      </c>
      <c r="AB368" t="s">
        <v>374</v>
      </c>
    </row>
    <row r="369" spans="1:29" x14ac:dyDescent="0.25">
      <c r="A369" s="1">
        <v>367</v>
      </c>
      <c r="B369" t="s">
        <v>218</v>
      </c>
      <c r="C369">
        <f>G369-E369-F369-H369</f>
        <v>5145.9925000000003</v>
      </c>
      <c r="D369" t="s">
        <v>359</v>
      </c>
      <c r="E369">
        <v>16350</v>
      </c>
      <c r="F369">
        <v>23.298749999999998</v>
      </c>
      <c r="G369">
        <v>21550</v>
      </c>
      <c r="H369">
        <v>30.708749999999998</v>
      </c>
      <c r="I369">
        <v>64.650000000000006</v>
      </c>
      <c r="AB369" t="s">
        <v>375</v>
      </c>
      <c r="AC369">
        <v>74393.34801250005</v>
      </c>
    </row>
    <row r="370" spans="1:29" x14ac:dyDescent="0.25">
      <c r="A370" s="1">
        <v>368</v>
      </c>
      <c r="B370" t="s">
        <v>311</v>
      </c>
      <c r="C370">
        <v>-817.75</v>
      </c>
      <c r="D370" t="s">
        <v>344</v>
      </c>
      <c r="E370">
        <v>90092</v>
      </c>
      <c r="F370">
        <v>128.3811</v>
      </c>
      <c r="G370">
        <v>89800</v>
      </c>
      <c r="H370">
        <v>127.965</v>
      </c>
      <c r="I370">
        <v>269.39999999999998</v>
      </c>
      <c r="L370" t="s">
        <v>374</v>
      </c>
      <c r="AB370" t="s">
        <v>374</v>
      </c>
    </row>
    <row r="371" spans="1:29" x14ac:dyDescent="0.25">
      <c r="A371" s="1">
        <v>369</v>
      </c>
      <c r="B371" t="s">
        <v>73</v>
      </c>
      <c r="C371">
        <v>-2467.7199999999998</v>
      </c>
      <c r="D371" t="s">
        <v>343</v>
      </c>
      <c r="E371">
        <v>21900</v>
      </c>
      <c r="F371">
        <v>31.2075</v>
      </c>
      <c r="G371">
        <v>19550</v>
      </c>
      <c r="H371">
        <v>27.858750000000001</v>
      </c>
      <c r="I371">
        <v>58.65</v>
      </c>
      <c r="L371" t="s">
        <v>374</v>
      </c>
      <c r="AB371" t="s">
        <v>374</v>
      </c>
    </row>
    <row r="372" spans="1:29" x14ac:dyDescent="0.25">
      <c r="A372" s="1">
        <v>370</v>
      </c>
      <c r="B372" t="s">
        <v>277</v>
      </c>
      <c r="C372">
        <v>-1106.73</v>
      </c>
      <c r="D372" t="s">
        <v>338</v>
      </c>
      <c r="E372">
        <v>19000</v>
      </c>
      <c r="F372">
        <v>27.074999999999999</v>
      </c>
      <c r="G372">
        <v>18000</v>
      </c>
      <c r="H372">
        <v>25.65</v>
      </c>
      <c r="I372">
        <v>54</v>
      </c>
      <c r="N372" t="s">
        <v>374</v>
      </c>
      <c r="AB372" t="s">
        <v>374</v>
      </c>
    </row>
    <row r="373" spans="1:29" x14ac:dyDescent="0.25">
      <c r="A373" s="1">
        <v>371</v>
      </c>
      <c r="B373" t="s">
        <v>312</v>
      </c>
      <c r="C373">
        <v>-581.79999999999995</v>
      </c>
      <c r="D373" t="s">
        <v>343</v>
      </c>
      <c r="E373">
        <v>11110</v>
      </c>
      <c r="F373">
        <v>20</v>
      </c>
      <c r="G373">
        <v>10600</v>
      </c>
      <c r="H373">
        <v>20</v>
      </c>
      <c r="I373">
        <v>31.8</v>
      </c>
      <c r="J373" t="s">
        <v>374</v>
      </c>
      <c r="AB373" t="s">
        <v>374</v>
      </c>
    </row>
    <row r="374" spans="1:29" x14ac:dyDescent="0.25">
      <c r="A374" s="1">
        <v>372</v>
      </c>
      <c r="B374" t="s">
        <v>313</v>
      </c>
      <c r="C374">
        <v>-1273.3</v>
      </c>
      <c r="D374" t="s">
        <v>346</v>
      </c>
      <c r="E374">
        <v>12300</v>
      </c>
      <c r="F374">
        <v>20</v>
      </c>
      <c r="G374">
        <v>11100</v>
      </c>
      <c r="H374">
        <v>20</v>
      </c>
      <c r="I374">
        <v>33.299999999999997</v>
      </c>
      <c r="J374" t="s">
        <v>374</v>
      </c>
      <c r="AB374" t="s">
        <v>374</v>
      </c>
    </row>
    <row r="375" spans="1:29" x14ac:dyDescent="0.25">
      <c r="A375" s="1">
        <v>373</v>
      </c>
      <c r="B375" t="s">
        <v>314</v>
      </c>
      <c r="C375">
        <v>-2135.5</v>
      </c>
      <c r="D375" t="s">
        <v>338</v>
      </c>
      <c r="E375">
        <v>21866.5</v>
      </c>
      <c r="F375">
        <v>31.159762499999999</v>
      </c>
      <c r="G375">
        <v>19850</v>
      </c>
      <c r="H375">
        <v>28.28625000000001</v>
      </c>
      <c r="I375">
        <v>59.55</v>
      </c>
      <c r="J375" t="s">
        <v>374</v>
      </c>
      <c r="AB375" t="s">
        <v>374</v>
      </c>
    </row>
    <row r="376" spans="1:29" x14ac:dyDescent="0.25">
      <c r="A376" s="1">
        <v>374</v>
      </c>
      <c r="B376" t="s">
        <v>250</v>
      </c>
      <c r="C376">
        <v>-920.05</v>
      </c>
      <c r="D376" t="s">
        <v>338</v>
      </c>
      <c r="E376">
        <v>14140</v>
      </c>
      <c r="F376">
        <v>20.1495</v>
      </c>
      <c r="G376">
        <v>13300</v>
      </c>
      <c r="H376">
        <v>20</v>
      </c>
      <c r="I376">
        <v>39.9</v>
      </c>
      <c r="J376" t="s">
        <v>374</v>
      </c>
      <c r="AB376" t="s">
        <v>374</v>
      </c>
    </row>
    <row r="377" spans="1:29" x14ac:dyDescent="0.25">
      <c r="A377" s="1">
        <v>375</v>
      </c>
      <c r="B377" t="s">
        <v>315</v>
      </c>
      <c r="C377">
        <f>G377-E377-F377-H377</f>
        <v>-174.5</v>
      </c>
      <c r="D377" t="s">
        <v>338</v>
      </c>
      <c r="E377">
        <v>13584.5</v>
      </c>
      <c r="F377">
        <v>20</v>
      </c>
      <c r="G377">
        <v>13450</v>
      </c>
      <c r="H377">
        <v>20</v>
      </c>
      <c r="I377">
        <v>40.35</v>
      </c>
      <c r="AB377" t="s">
        <v>375</v>
      </c>
      <c r="AC377">
        <v>40789.873012500037</v>
      </c>
    </row>
    <row r="378" spans="1:29" x14ac:dyDescent="0.25">
      <c r="A378" s="1">
        <v>376</v>
      </c>
      <c r="B378" t="s">
        <v>299</v>
      </c>
      <c r="C378">
        <v>950.15</v>
      </c>
      <c r="D378" t="s">
        <v>356</v>
      </c>
      <c r="E378">
        <v>9827.2999999999993</v>
      </c>
      <c r="F378">
        <v>20</v>
      </c>
      <c r="G378">
        <v>10850</v>
      </c>
      <c r="H378">
        <v>20</v>
      </c>
      <c r="I378">
        <v>32.549999999999997</v>
      </c>
      <c r="M378" t="s">
        <v>374</v>
      </c>
      <c r="AB378" t="s">
        <v>374</v>
      </c>
    </row>
    <row r="379" spans="1:29" x14ac:dyDescent="0.25">
      <c r="A379" s="1">
        <v>377</v>
      </c>
      <c r="B379" t="s">
        <v>268</v>
      </c>
      <c r="C379">
        <v>-1188.52</v>
      </c>
      <c r="D379" t="s">
        <v>344</v>
      </c>
      <c r="E379">
        <v>15453</v>
      </c>
      <c r="F379">
        <v>22.02052500000001</v>
      </c>
      <c r="G379">
        <v>14350</v>
      </c>
      <c r="H379">
        <v>20.44875</v>
      </c>
      <c r="I379">
        <v>43.05</v>
      </c>
      <c r="J379" t="s">
        <v>374</v>
      </c>
      <c r="AB379" t="s">
        <v>374</v>
      </c>
    </row>
    <row r="380" spans="1:29" x14ac:dyDescent="0.25">
      <c r="A380" s="1">
        <v>378</v>
      </c>
      <c r="B380" t="s">
        <v>202</v>
      </c>
      <c r="C380">
        <v>-690.6</v>
      </c>
      <c r="D380" t="s">
        <v>337</v>
      </c>
      <c r="E380">
        <v>11817</v>
      </c>
      <c r="F380">
        <v>20</v>
      </c>
      <c r="G380">
        <v>11200</v>
      </c>
      <c r="H380">
        <v>20</v>
      </c>
      <c r="I380">
        <v>33.6</v>
      </c>
      <c r="J380" t="s">
        <v>374</v>
      </c>
      <c r="AB380" t="s">
        <v>374</v>
      </c>
    </row>
    <row r="381" spans="1:29" x14ac:dyDescent="0.25">
      <c r="A381" s="1">
        <v>379</v>
      </c>
      <c r="B381" t="s">
        <v>213</v>
      </c>
      <c r="C381">
        <f>G381-E381-F381-H381</f>
        <v>-3145.3566499998983</v>
      </c>
      <c r="D381" t="s">
        <v>338</v>
      </c>
      <c r="E381">
        <v>39187.999999999898</v>
      </c>
      <c r="F381">
        <v>55.842899999999993</v>
      </c>
      <c r="G381">
        <v>36150</v>
      </c>
      <c r="H381">
        <v>51.513750000000002</v>
      </c>
      <c r="I381">
        <v>108.45</v>
      </c>
      <c r="AB381" t="s">
        <v>375</v>
      </c>
      <c r="AC381">
        <v>49348.532162499949</v>
      </c>
    </row>
    <row r="382" spans="1:29" x14ac:dyDescent="0.25">
      <c r="A382" s="1">
        <v>380</v>
      </c>
      <c r="B382" t="s">
        <v>316</v>
      </c>
      <c r="C382">
        <v>-2984.21</v>
      </c>
      <c r="D382" t="s">
        <v>344</v>
      </c>
      <c r="E382">
        <v>88577</v>
      </c>
      <c r="F382">
        <v>126.22222499999999</v>
      </c>
      <c r="G382">
        <v>86100</v>
      </c>
      <c r="H382">
        <v>122.6925</v>
      </c>
      <c r="I382">
        <v>258.3</v>
      </c>
      <c r="R382" t="s">
        <v>374</v>
      </c>
      <c r="AB382" t="s">
        <v>374</v>
      </c>
    </row>
    <row r="383" spans="1:29" x14ac:dyDescent="0.25">
      <c r="A383" s="1">
        <v>381</v>
      </c>
      <c r="B383" t="s">
        <v>95</v>
      </c>
      <c r="C383">
        <v>-110.24</v>
      </c>
      <c r="D383" t="s">
        <v>359</v>
      </c>
      <c r="E383">
        <v>19695</v>
      </c>
      <c r="F383">
        <v>28.065375</v>
      </c>
      <c r="G383">
        <v>19700</v>
      </c>
      <c r="H383">
        <v>28.072500000000002</v>
      </c>
      <c r="I383">
        <v>59.1</v>
      </c>
      <c r="L383" t="s">
        <v>374</v>
      </c>
      <c r="AB383" t="s">
        <v>374</v>
      </c>
    </row>
    <row r="384" spans="1:29" x14ac:dyDescent="0.25">
      <c r="A384" s="1">
        <v>382</v>
      </c>
      <c r="B384" t="s">
        <v>317</v>
      </c>
      <c r="C384">
        <f>G384-E384-F384-H384</f>
        <v>-930</v>
      </c>
      <c r="D384" t="s">
        <v>344</v>
      </c>
      <c r="E384">
        <v>8400</v>
      </c>
      <c r="F384">
        <v>20</v>
      </c>
      <c r="G384">
        <v>7510</v>
      </c>
      <c r="H384">
        <v>20</v>
      </c>
      <c r="I384">
        <v>22.53</v>
      </c>
      <c r="AB384" t="s">
        <v>375</v>
      </c>
      <c r="AC384">
        <v>57768.532162499949</v>
      </c>
    </row>
    <row r="385" spans="1:29" x14ac:dyDescent="0.25">
      <c r="A385" s="1">
        <v>383</v>
      </c>
      <c r="B385" t="s">
        <v>318</v>
      </c>
      <c r="C385">
        <v>6545.84</v>
      </c>
      <c r="D385" t="s">
        <v>337</v>
      </c>
      <c r="E385">
        <v>20604</v>
      </c>
      <c r="F385">
        <v>29.360700000000001</v>
      </c>
      <c r="G385">
        <v>27300</v>
      </c>
      <c r="H385">
        <v>38.902500000000003</v>
      </c>
      <c r="I385">
        <v>81.900000000000006</v>
      </c>
      <c r="O385" t="s">
        <v>374</v>
      </c>
      <c r="AB385" t="s">
        <v>374</v>
      </c>
    </row>
    <row r="386" spans="1:29" x14ac:dyDescent="0.25">
      <c r="A386" s="1">
        <v>384</v>
      </c>
      <c r="B386" t="s">
        <v>319</v>
      </c>
      <c r="C386">
        <v>-1207.1099999999999</v>
      </c>
      <c r="D386" t="s">
        <v>343</v>
      </c>
      <c r="E386">
        <v>27650</v>
      </c>
      <c r="F386">
        <v>39.401250000000012</v>
      </c>
      <c r="G386">
        <v>26600</v>
      </c>
      <c r="H386">
        <v>37.905000000000001</v>
      </c>
      <c r="I386">
        <v>79.8</v>
      </c>
      <c r="L386" t="s">
        <v>374</v>
      </c>
      <c r="AB386" t="s">
        <v>374</v>
      </c>
    </row>
    <row r="387" spans="1:29" x14ac:dyDescent="0.25">
      <c r="A387" s="1">
        <v>385</v>
      </c>
      <c r="B387" t="s">
        <v>320</v>
      </c>
      <c r="C387">
        <f>G387-E387-F387-H387</f>
        <v>-539.24893750000001</v>
      </c>
      <c r="D387" t="s">
        <v>360</v>
      </c>
      <c r="E387">
        <v>14897.5</v>
      </c>
      <c r="F387">
        <v>21.228937500000001</v>
      </c>
      <c r="G387">
        <v>14400</v>
      </c>
      <c r="H387">
        <v>20.52</v>
      </c>
      <c r="I387">
        <v>43.2</v>
      </c>
      <c r="AB387" t="s">
        <v>375</v>
      </c>
      <c r="AC387">
        <v>52950.309849999947</v>
      </c>
    </row>
    <row r="388" spans="1:29" x14ac:dyDescent="0.25">
      <c r="A388" s="1">
        <v>386</v>
      </c>
      <c r="B388" t="s">
        <v>181</v>
      </c>
      <c r="C388">
        <v>3754.86</v>
      </c>
      <c r="D388" t="s">
        <v>359</v>
      </c>
      <c r="E388">
        <v>23987.5</v>
      </c>
      <c r="F388">
        <v>34.182187499999998</v>
      </c>
      <c r="G388">
        <v>27900</v>
      </c>
      <c r="H388">
        <v>39.7575</v>
      </c>
      <c r="I388">
        <v>83.7</v>
      </c>
      <c r="O388" t="s">
        <v>374</v>
      </c>
      <c r="AB388" t="s">
        <v>374</v>
      </c>
    </row>
    <row r="389" spans="1:29" x14ac:dyDescent="0.25">
      <c r="A389" s="1">
        <v>387</v>
      </c>
      <c r="B389" t="s">
        <v>321</v>
      </c>
      <c r="C389">
        <f t="shared" ref="C389:C390" si="5">G389-E389-F389-H389</f>
        <v>-1490</v>
      </c>
      <c r="D389" t="s">
        <v>360</v>
      </c>
      <c r="E389">
        <v>11600</v>
      </c>
      <c r="F389">
        <v>20</v>
      </c>
      <c r="G389">
        <v>10150</v>
      </c>
      <c r="H389">
        <v>20</v>
      </c>
      <c r="I389">
        <v>30.45</v>
      </c>
      <c r="AB389" t="s">
        <v>375</v>
      </c>
      <c r="AC389">
        <v>121962.5566</v>
      </c>
    </row>
    <row r="390" spans="1:29" x14ac:dyDescent="0.25">
      <c r="A390" s="1">
        <v>388</v>
      </c>
      <c r="B390" t="s">
        <v>322</v>
      </c>
      <c r="C390">
        <f t="shared" si="5"/>
        <v>1132.827</v>
      </c>
      <c r="D390" t="s">
        <v>341</v>
      </c>
      <c r="E390">
        <v>107060</v>
      </c>
      <c r="F390">
        <v>152.56049999999999</v>
      </c>
      <c r="G390">
        <v>108500</v>
      </c>
      <c r="H390">
        <v>154.61250000000001</v>
      </c>
      <c r="I390">
        <v>325.5</v>
      </c>
      <c r="AB390" t="s">
        <v>375</v>
      </c>
      <c r="AC390">
        <v>121962.5566</v>
      </c>
    </row>
    <row r="391" spans="1:29" x14ac:dyDescent="0.25">
      <c r="A391" s="1">
        <v>389</v>
      </c>
      <c r="B391" t="s">
        <v>323</v>
      </c>
      <c r="C391">
        <v>-1852.24</v>
      </c>
      <c r="D391" t="s">
        <v>341</v>
      </c>
      <c r="E391">
        <v>54540</v>
      </c>
      <c r="F391">
        <v>77.719499999999996</v>
      </c>
      <c r="G391">
        <v>53000</v>
      </c>
      <c r="H391">
        <v>75.525000000000006</v>
      </c>
      <c r="I391">
        <v>159</v>
      </c>
      <c r="L391" t="s">
        <v>374</v>
      </c>
      <c r="AB391" t="s">
        <v>374</v>
      </c>
    </row>
    <row r="392" spans="1:29" x14ac:dyDescent="0.25">
      <c r="A392" s="1">
        <v>390</v>
      </c>
      <c r="B392" t="s">
        <v>324</v>
      </c>
      <c r="C392">
        <v>7572.05</v>
      </c>
      <c r="D392" t="s">
        <v>358</v>
      </c>
      <c r="E392">
        <v>88375</v>
      </c>
      <c r="F392">
        <v>125.934375</v>
      </c>
      <c r="G392">
        <v>96500</v>
      </c>
      <c r="H392">
        <v>137.51249999999999</v>
      </c>
      <c r="I392">
        <v>289.5</v>
      </c>
      <c r="AA392" t="s">
        <v>374</v>
      </c>
      <c r="AB392" t="s">
        <v>374</v>
      </c>
    </row>
    <row r="393" spans="1:29" x14ac:dyDescent="0.25">
      <c r="A393" s="1">
        <v>391</v>
      </c>
      <c r="B393" t="s">
        <v>43</v>
      </c>
      <c r="C393">
        <v>338.41</v>
      </c>
      <c r="D393" t="s">
        <v>356</v>
      </c>
      <c r="E393">
        <v>48177</v>
      </c>
      <c r="F393">
        <v>68.652225000000016</v>
      </c>
      <c r="G393">
        <v>48800</v>
      </c>
      <c r="H393">
        <v>69.540000000000006</v>
      </c>
      <c r="I393">
        <v>146.4</v>
      </c>
      <c r="P393" t="s">
        <v>374</v>
      </c>
      <c r="AB393" t="s">
        <v>374</v>
      </c>
    </row>
    <row r="394" spans="1:29" x14ac:dyDescent="0.25">
      <c r="A394" s="1">
        <v>392</v>
      </c>
      <c r="B394" t="s">
        <v>325</v>
      </c>
      <c r="C394">
        <v>-1917.15</v>
      </c>
      <c r="D394" t="s">
        <v>340</v>
      </c>
      <c r="E394">
        <v>17473</v>
      </c>
      <c r="F394">
        <v>24.899025000000009</v>
      </c>
      <c r="G394">
        <v>15650</v>
      </c>
      <c r="H394">
        <v>22.30125</v>
      </c>
      <c r="I394">
        <v>46.95</v>
      </c>
      <c r="L394" t="s">
        <v>374</v>
      </c>
      <c r="AB394" t="s">
        <v>374</v>
      </c>
    </row>
    <row r="395" spans="1:29" x14ac:dyDescent="0.25">
      <c r="A395" s="1">
        <v>393</v>
      </c>
      <c r="B395" t="s">
        <v>304</v>
      </c>
      <c r="C395">
        <v>-5871.81</v>
      </c>
      <c r="D395" t="s">
        <v>338</v>
      </c>
      <c r="E395">
        <v>69589</v>
      </c>
      <c r="F395">
        <v>99.164325000000019</v>
      </c>
      <c r="G395">
        <v>64099.999999999993</v>
      </c>
      <c r="H395">
        <v>91.342500000000001</v>
      </c>
      <c r="I395">
        <v>192.3</v>
      </c>
      <c r="J395" t="s">
        <v>374</v>
      </c>
      <c r="AB395" t="s">
        <v>374</v>
      </c>
    </row>
    <row r="396" spans="1:29" x14ac:dyDescent="0.25">
      <c r="A396" s="1">
        <v>394</v>
      </c>
      <c r="B396" t="s">
        <v>275</v>
      </c>
      <c r="C396">
        <v>-2566.14</v>
      </c>
      <c r="D396" t="s">
        <v>339</v>
      </c>
      <c r="E396">
        <v>99990</v>
      </c>
      <c r="F396">
        <v>142.48575</v>
      </c>
      <c r="G396">
        <v>98000</v>
      </c>
      <c r="H396">
        <v>139.65</v>
      </c>
      <c r="I396">
        <v>294</v>
      </c>
      <c r="M396" t="s">
        <v>374</v>
      </c>
      <c r="AB396" t="s">
        <v>374</v>
      </c>
    </row>
    <row r="397" spans="1:29" x14ac:dyDescent="0.25">
      <c r="A397" s="1">
        <v>395</v>
      </c>
      <c r="B397" t="s">
        <v>326</v>
      </c>
      <c r="C397">
        <v>-695.52</v>
      </c>
      <c r="D397" t="s">
        <v>360</v>
      </c>
      <c r="E397">
        <v>33800</v>
      </c>
      <c r="F397">
        <v>48.164999999999999</v>
      </c>
      <c r="G397">
        <v>33300</v>
      </c>
      <c r="H397">
        <v>47.452500000000001</v>
      </c>
      <c r="I397">
        <v>99.9</v>
      </c>
      <c r="N397" t="s">
        <v>374</v>
      </c>
      <c r="AB397" t="s">
        <v>374</v>
      </c>
    </row>
    <row r="398" spans="1:29" x14ac:dyDescent="0.25">
      <c r="A398" s="1">
        <v>396</v>
      </c>
      <c r="B398" t="s">
        <v>327</v>
      </c>
      <c r="C398">
        <v>-2407.36</v>
      </c>
      <c r="D398" t="s">
        <v>344</v>
      </c>
      <c r="E398">
        <v>48682</v>
      </c>
      <c r="F398">
        <v>69.371850000000009</v>
      </c>
      <c r="G398">
        <v>46550</v>
      </c>
      <c r="H398">
        <v>66.333750000000009</v>
      </c>
      <c r="I398">
        <v>139.65</v>
      </c>
      <c r="L398" t="s">
        <v>374</v>
      </c>
      <c r="AB398" t="s">
        <v>374</v>
      </c>
    </row>
    <row r="399" spans="1:29" x14ac:dyDescent="0.25">
      <c r="A399" s="1">
        <v>397</v>
      </c>
      <c r="B399" t="s">
        <v>328</v>
      </c>
      <c r="C399">
        <v>-4448.67</v>
      </c>
      <c r="D399" t="s">
        <v>345</v>
      </c>
      <c r="E399">
        <v>55045</v>
      </c>
      <c r="F399">
        <v>78.439125000000004</v>
      </c>
      <c r="G399">
        <v>50900</v>
      </c>
      <c r="H399">
        <v>72.532499999999999</v>
      </c>
      <c r="I399">
        <v>152.69999999999999</v>
      </c>
      <c r="M399" t="s">
        <v>374</v>
      </c>
      <c r="AB399" t="s">
        <v>374</v>
      </c>
    </row>
    <row r="400" spans="1:29" x14ac:dyDescent="0.25">
      <c r="A400" s="1">
        <v>398</v>
      </c>
      <c r="B400" t="s">
        <v>271</v>
      </c>
      <c r="C400">
        <f>G400-E400-F400-H400</f>
        <v>2445.6187499999996</v>
      </c>
      <c r="D400" t="s">
        <v>356</v>
      </c>
      <c r="E400">
        <v>35350</v>
      </c>
      <c r="F400">
        <v>50.373750000000001</v>
      </c>
      <c r="G400">
        <v>37900</v>
      </c>
      <c r="H400">
        <v>54.0075</v>
      </c>
      <c r="I400">
        <v>113.7</v>
      </c>
      <c r="AB400" t="s">
        <v>375</v>
      </c>
      <c r="AC400">
        <v>249255.31784999999</v>
      </c>
    </row>
    <row r="401" spans="1:29" x14ac:dyDescent="0.25">
      <c r="A401" s="1">
        <v>399</v>
      </c>
      <c r="B401" t="s">
        <v>329</v>
      </c>
      <c r="C401">
        <v>-3782.12</v>
      </c>
      <c r="D401" t="s">
        <v>338</v>
      </c>
      <c r="E401">
        <v>47470</v>
      </c>
      <c r="F401">
        <v>67.644750000000002</v>
      </c>
      <c r="G401">
        <v>43950</v>
      </c>
      <c r="H401">
        <v>62.628749999999997</v>
      </c>
      <c r="I401">
        <v>131.85</v>
      </c>
      <c r="AA401" t="s">
        <v>374</v>
      </c>
      <c r="AB401" t="s">
        <v>374</v>
      </c>
    </row>
    <row r="402" spans="1:29" x14ac:dyDescent="0.25">
      <c r="A402" s="1">
        <v>400</v>
      </c>
      <c r="B402" t="s">
        <v>330</v>
      </c>
      <c r="C402">
        <f>G402-E402-F402-H402</f>
        <v>6522.3024999999998</v>
      </c>
      <c r="D402" t="s">
        <v>342</v>
      </c>
      <c r="E402">
        <v>59000</v>
      </c>
      <c r="F402">
        <v>84.075000000000003</v>
      </c>
      <c r="G402">
        <v>65700</v>
      </c>
      <c r="H402">
        <v>93.622500000000002</v>
      </c>
      <c r="I402">
        <v>197.1</v>
      </c>
      <c r="AB402" t="s">
        <v>375</v>
      </c>
      <c r="AC402">
        <v>249255.31784999999</v>
      </c>
    </row>
    <row r="403" spans="1:29" x14ac:dyDescent="0.25">
      <c r="A403" s="1">
        <v>401</v>
      </c>
      <c r="B403" t="s">
        <v>331</v>
      </c>
      <c r="C403">
        <v>-3390.84</v>
      </c>
      <c r="D403" t="s">
        <v>343</v>
      </c>
      <c r="E403">
        <v>44742.999999999898</v>
      </c>
      <c r="F403">
        <v>63.758774999999993</v>
      </c>
      <c r="G403">
        <v>41600</v>
      </c>
      <c r="H403">
        <v>59.28</v>
      </c>
      <c r="I403">
        <v>124.8</v>
      </c>
      <c r="AB403" t="s">
        <v>374</v>
      </c>
    </row>
    <row r="404" spans="1:29" x14ac:dyDescent="0.25">
      <c r="A404" s="1">
        <v>402</v>
      </c>
      <c r="B404" t="s">
        <v>332</v>
      </c>
      <c r="C404">
        <v>13078.52</v>
      </c>
      <c r="D404" t="s">
        <v>362</v>
      </c>
      <c r="E404">
        <v>27800</v>
      </c>
      <c r="F404">
        <v>39.615000000000002</v>
      </c>
      <c r="G404">
        <v>41100</v>
      </c>
      <c r="H404">
        <v>58.567500000000003</v>
      </c>
      <c r="I404">
        <v>123.3</v>
      </c>
      <c r="M404" t="s">
        <v>374</v>
      </c>
      <c r="AB404" t="s">
        <v>374</v>
      </c>
    </row>
    <row r="405" spans="1:29" x14ac:dyDescent="0.25">
      <c r="A405" s="1">
        <v>403</v>
      </c>
      <c r="B405" t="s">
        <v>333</v>
      </c>
      <c r="C405">
        <v>-1968.34</v>
      </c>
      <c r="D405" t="s">
        <v>366</v>
      </c>
      <c r="E405">
        <v>14241</v>
      </c>
      <c r="F405">
        <v>20.293424999999999</v>
      </c>
      <c r="G405">
        <v>12350</v>
      </c>
      <c r="H405">
        <v>20</v>
      </c>
      <c r="I405">
        <v>37.049999999999997</v>
      </c>
      <c r="L405" t="s">
        <v>374</v>
      </c>
      <c r="AB405" t="s">
        <v>374</v>
      </c>
    </row>
    <row r="406" spans="1:29" x14ac:dyDescent="0.25">
      <c r="A406" s="1">
        <v>404</v>
      </c>
      <c r="B406" t="s">
        <v>334</v>
      </c>
      <c r="C406">
        <v>-1963.29</v>
      </c>
      <c r="D406" t="s">
        <v>338</v>
      </c>
      <c r="E406">
        <v>61610</v>
      </c>
      <c r="F406">
        <v>87.794250000000005</v>
      </c>
      <c r="G406">
        <v>60000</v>
      </c>
      <c r="H406">
        <v>85.5</v>
      </c>
      <c r="I406">
        <v>180</v>
      </c>
      <c r="J406" t="s">
        <v>374</v>
      </c>
      <c r="AB406" t="s">
        <v>374</v>
      </c>
    </row>
    <row r="407" spans="1:29" x14ac:dyDescent="0.25">
      <c r="A407" s="1">
        <v>405</v>
      </c>
      <c r="B407" t="s">
        <v>335</v>
      </c>
      <c r="C407">
        <f>G407-E407-F407-H407</f>
        <v>122.81875000000001</v>
      </c>
      <c r="D407" t="s">
        <v>337</v>
      </c>
      <c r="E407">
        <v>44500</v>
      </c>
      <c r="F407">
        <v>63.412500000000001</v>
      </c>
      <c r="G407">
        <v>44750</v>
      </c>
      <c r="H407">
        <v>63.768749999999997</v>
      </c>
      <c r="I407">
        <v>134.25</v>
      </c>
      <c r="AB407" t="s">
        <v>375</v>
      </c>
      <c r="AC407">
        <v>249255.31784999999</v>
      </c>
    </row>
    <row r="408" spans="1:29" x14ac:dyDescent="0.25">
      <c r="A408" s="1">
        <v>406</v>
      </c>
      <c r="B408" t="s">
        <v>143</v>
      </c>
      <c r="C408">
        <v>-7930.38</v>
      </c>
      <c r="D408" t="s">
        <v>337</v>
      </c>
      <c r="E408">
        <v>346430</v>
      </c>
      <c r="F408">
        <v>493.66275000000002</v>
      </c>
      <c r="G408">
        <v>340500</v>
      </c>
      <c r="H408">
        <v>485.21249999999998</v>
      </c>
      <c r="I408">
        <v>1021.5</v>
      </c>
      <c r="AB408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2022-05-12T14:03:18Z</dcterms:created>
  <dcterms:modified xsi:type="dcterms:W3CDTF">2023-11-05T16:01:59Z</dcterms:modified>
</cp:coreProperties>
</file>